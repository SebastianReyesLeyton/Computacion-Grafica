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i\OneDrive\Documentos\UNIVERSIDAD\SEMESTRE V\Computacion Grafica\Proyecto\Information\"/>
    </mc:Choice>
  </mc:AlternateContent>
  <xr:revisionPtr revIDLastSave="497" documentId="8_{32C349D4-2F76-420B-B81B-548C27B14A02}" xr6:coauthVersionLast="45" xr6:coauthVersionMax="45" xr10:uidLastSave="{F0FFCFA1-E882-41B9-9804-1B94365DAFA9}"/>
  <bookViews>
    <workbookView xWindow="-120" yWindow="-120" windowWidth="20730" windowHeight="11160" activeTab="1" xr2:uid="{1A130001-6DA1-41A8-A7A4-02D05E95C532}"/>
  </bookViews>
  <sheets>
    <sheet name="Diagrama de Gantt" sheetId="1" r:id="rId1"/>
    <sheet name="Estatus" sheetId="2" r:id="rId2"/>
  </sheets>
  <definedNames>
    <definedName name="_xlnm._FilterDatabase" localSheetId="0" hidden="1">'Diagrama de Gantt'!$B$6:$O$16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7" i="1"/>
  <c r="E5" i="2"/>
  <c r="E6" i="2"/>
  <c r="E7" i="2"/>
  <c r="E8" i="2"/>
  <c r="E9" i="2"/>
  <c r="E10" i="2"/>
  <c r="E11" i="2"/>
  <c r="E12" i="2"/>
  <c r="E13" i="2"/>
  <c r="E14" i="2"/>
  <c r="E15" i="2"/>
  <c r="N17" i="1"/>
  <c r="N8" i="1"/>
  <c r="N9" i="1"/>
  <c r="N10" i="1"/>
  <c r="N11" i="1"/>
  <c r="N12" i="1"/>
  <c r="N13" i="1"/>
  <c r="N14" i="1"/>
  <c r="N15" i="1"/>
  <c r="N16" i="1"/>
  <c r="N7" i="1"/>
  <c r="C12" i="2" l="1"/>
  <c r="O14" i="1" s="1"/>
  <c r="D12" i="2"/>
  <c r="C8" i="2"/>
  <c r="O10" i="1" s="1"/>
  <c r="D8" i="2"/>
  <c r="C9" i="2"/>
  <c r="O11" i="1" s="1"/>
  <c r="D9" i="2"/>
  <c r="C15" i="2"/>
  <c r="O17" i="1" s="1"/>
  <c r="D15" i="2"/>
  <c r="C11" i="2"/>
  <c r="O13" i="1" s="1"/>
  <c r="D11" i="2"/>
  <c r="C7" i="2"/>
  <c r="O9" i="1" s="1"/>
  <c r="D7" i="2"/>
  <c r="C13" i="2"/>
  <c r="O15" i="1" s="1"/>
  <c r="D13" i="2"/>
  <c r="C14" i="2"/>
  <c r="O16" i="1" s="1"/>
  <c r="D14" i="2"/>
  <c r="C10" i="2"/>
  <c r="O12" i="1" s="1"/>
  <c r="D10" i="2"/>
  <c r="C6" i="2"/>
  <c r="O8" i="1" s="1"/>
  <c r="D6" i="2"/>
  <c r="C5" i="2"/>
  <c r="O7" i="1" s="1"/>
  <c r="D5" i="2"/>
</calcChain>
</file>

<file path=xl/sharedStrings.xml><?xml version="1.0" encoding="utf-8"?>
<sst xmlns="http://schemas.openxmlformats.org/spreadsheetml/2006/main" count="59" uniqueCount="46">
  <si>
    <t xml:space="preserve">DIAGRAMA DE GANTT </t>
  </si>
  <si>
    <t>Nombre del Proyecto</t>
  </si>
  <si>
    <t>Reconstrucción 3D Hacienda Cañasgordas</t>
  </si>
  <si>
    <t>Fecha de Inicio</t>
  </si>
  <si>
    <t>Inicio</t>
  </si>
  <si>
    <t>Finalización</t>
  </si>
  <si>
    <t>Descripción</t>
  </si>
  <si>
    <t>Responsable</t>
  </si>
  <si>
    <t>Nombre Tarea</t>
  </si>
  <si>
    <t>Diagrama de Gantt</t>
  </si>
  <si>
    <t>Estado</t>
  </si>
  <si>
    <t>Descripción del espacio en reconstrucción 3D</t>
  </si>
  <si>
    <t>Identificación y listado de objetos</t>
  </si>
  <si>
    <t>Diseño del mundo</t>
  </si>
  <si>
    <t>Implementación del mundo, parte 1</t>
  </si>
  <si>
    <t>Implementación del mundo, parte 2</t>
  </si>
  <si>
    <t>Ensayo, parte 1</t>
  </si>
  <si>
    <t>Implementación del mundo, parte 3</t>
  </si>
  <si>
    <t>Ensayo, parte 2</t>
  </si>
  <si>
    <t>Presentación</t>
  </si>
  <si>
    <t>Compañía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</si>
  <si>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</si>
  <si>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</si>
  <si>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</si>
  <si>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</si>
  <si>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</si>
  <si>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</si>
  <si>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</si>
  <si>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</si>
  <si>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</si>
  <si>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</si>
  <si>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2020-1</t>
  </si>
  <si>
    <t>INTEGRANTES</t>
  </si>
  <si>
    <t>Nombre Integrante</t>
  </si>
  <si>
    <t>Juan Sebastián Reyes Leyton</t>
  </si>
  <si>
    <t>Código</t>
  </si>
  <si>
    <t>Código Responsable</t>
  </si>
  <si>
    <t>Graphics Company</t>
  </si>
  <si>
    <t>Estatus de las actividades</t>
  </si>
  <si>
    <t>011</t>
  </si>
  <si>
    <t>Asistencia a la visita de campo</t>
  </si>
  <si>
    <t>Priority</t>
  </si>
  <si>
    <t>Percentaje</t>
  </si>
  <si>
    <t>Days</t>
  </si>
  <si>
    <t>Code</t>
  </si>
  <si>
    <t>Duración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</si>
</sst>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Berlin Sans FB"/>
      <family val="2"/>
    </font>
    <font>
      <sz val="11"/>
      <name val="Berlin Sans FB"/>
      <family val="2"/>
    </font>
    <font>
      <sz val="11"/>
      <color theme="0"/>
      <name val="Berlin Sans FB"/>
      <family val="2"/>
    </font>
    <font>
      <sz val="8"/>
      <name val="Calibri"/>
      <family val="2"/>
      <scheme val="minor"/>
    </font>
    <font>
      <b/>
      <sz val="11"/>
      <color theme="0"/>
      <name val="Berlin Sans FB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 applyBorder="1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3" fillId="0" borderId="0" xfId="0" applyFont="1" applyFill="1" applyBorder="1"/>
    <xf numFmtId="0" fontId="3" fillId="0" borderId="0" xfId="0" applyFont="1" applyFill="1" applyBorder="1" applyAlignment="1">
      <alignment vertical="center"/>
    </xf>
    <xf numFmtId="14" fontId="1" fillId="3" borderId="2" xfId="0" applyNumberFormat="1" applyFont="1" applyFill="1" applyBorder="1"/>
    <xf numFmtId="14" fontId="1" fillId="0" borderId="2" xfId="0" applyNumberFormat="1" applyFont="1" applyFill="1" applyBorder="1"/>
    <xf numFmtId="14" fontId="1" fillId="3" borderId="1" xfId="0" applyNumberFormat="1" applyFont="1" applyFill="1" applyBorder="1"/>
    <xf numFmtId="0" fontId="1" fillId="0" borderId="3" xfId="0" applyFont="1" applyBorder="1"/>
    <xf numFmtId="14" fontId="1" fillId="3" borderId="3" xfId="0" applyNumberFormat="1" applyFont="1" applyFill="1" applyBorder="1"/>
    <xf numFmtId="0" fontId="1" fillId="3" borderId="3" xfId="0" applyFont="1" applyFill="1" applyBorder="1"/>
    <xf numFmtId="0" fontId="1" fillId="0" borderId="3" xfId="0" applyFont="1" applyFill="1" applyBorder="1"/>
    <xf numFmtId="0" fontId="2" fillId="4" borderId="5" xfId="0" applyFont="1" applyFill="1" applyBorder="1"/>
    <xf numFmtId="0" fontId="2" fillId="4" borderId="2" xfId="0" applyFont="1" applyFill="1" applyBorder="1" applyAlignment="1">
      <alignment vertical="center"/>
    </xf>
    <xf numFmtId="0" fontId="2" fillId="0" borderId="7" xfId="0" applyFont="1" applyBorder="1"/>
    <xf numFmtId="0" fontId="2" fillId="4" borderId="2" xfId="0" applyFont="1" applyFill="1" applyBorder="1"/>
    <xf numFmtId="0" fontId="2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49" fontId="1" fillId="3" borderId="3" xfId="0" applyNumberFormat="1" applyFont="1" applyFill="1" applyBorder="1"/>
    <xf numFmtId="49" fontId="2" fillId="3" borderId="2" xfId="0" applyNumberFormat="1" applyFont="1" applyFill="1" applyBorder="1" applyAlignment="1">
      <alignment horizontal="center"/>
    </xf>
    <xf numFmtId="49" fontId="2" fillId="3" borderId="0" xfId="0" applyNumberFormat="1" applyFont="1" applyFill="1" applyBorder="1" applyAlignment="1">
      <alignment horizontal="center"/>
    </xf>
    <xf numFmtId="49" fontId="2" fillId="3" borderId="8" xfId="0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9" fontId="1" fillId="3" borderId="9" xfId="1" applyFont="1" applyFill="1" applyBorder="1" applyAlignment="1">
      <alignment horizontal="center"/>
    </xf>
    <xf numFmtId="0" fontId="2" fillId="0" borderId="6" xfId="0" applyNumberFormat="1" applyFont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" fontId="1" fillId="5" borderId="2" xfId="0" applyNumberFormat="1" applyFont="1" applyFill="1" applyBorder="1"/>
    <xf numFmtId="0" fontId="3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"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Diagrama de Gantt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'Diagrama de Gantt'!$L$7:$L$17</c:f>
              <c:strCache>
                <c:ptCount val="11"/>
                <c:pt idx="0">
                  <c:v>001</c:v>
                </c:pt>
                <c:pt idx="1">
                  <c:v>002</c:v>
                </c:pt>
                <c:pt idx="2">
                  <c:v>003</c:v>
                </c:pt>
                <c:pt idx="3">
                  <c:v>004</c:v>
                </c:pt>
                <c:pt idx="4">
                  <c:v>005</c:v>
                </c:pt>
                <c:pt idx="5">
                  <c:v>006</c:v>
                </c:pt>
                <c:pt idx="6">
                  <c:v>007</c:v>
                </c:pt>
                <c:pt idx="7">
                  <c:v>008</c:v>
                </c:pt>
                <c:pt idx="8">
                  <c:v>009</c:v>
                </c:pt>
                <c:pt idx="9">
                  <c:v>010</c:v>
                </c:pt>
                <c:pt idx="10">
                  <c:v>011</c:v>
                </c:pt>
              </c:strCache>
            </c:strRef>
          </c:cat>
          <c:val>
            <c:numRef>
              <c:f>'Diagrama de Gantt'!$E$7:$E$17</c:f>
              <c:numCache>
                <c:formatCode>m/d/yyyy</c:formatCode>
                <c:ptCount val="11"/>
                <c:pt idx="0">
                  <c:v>43836</c:v>
                </c:pt>
                <c:pt idx="1">
                  <c:v>43858</c:v>
                </c:pt>
                <c:pt idx="2">
                  <c:v>43858</c:v>
                </c:pt>
                <c:pt idx="3">
                  <c:v>43860</c:v>
                </c:pt>
                <c:pt idx="4">
                  <c:v>43895</c:v>
                </c:pt>
                <c:pt idx="5">
                  <c:v>43921</c:v>
                </c:pt>
                <c:pt idx="6">
                  <c:v>43875</c:v>
                </c:pt>
                <c:pt idx="7">
                  <c:v>43944</c:v>
                </c:pt>
                <c:pt idx="8">
                  <c:v>43965</c:v>
                </c:pt>
                <c:pt idx="9">
                  <c:v>43965</c:v>
                </c:pt>
                <c:pt idx="10">
                  <c:v>43858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59-42FF-BE69-01C4E29614EE}"/>
            </c:ext>
          </c:extLst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'Diagrama de Gantt'!$L$7:$L$17</c:f>
              <c:strCache>
                <c:ptCount val="11"/>
                <c:pt idx="0">
                  <c:v>001</c:v>
                </c:pt>
                <c:pt idx="1">
                  <c:v>002</c:v>
                </c:pt>
                <c:pt idx="2">
                  <c:v>003</c:v>
                </c:pt>
                <c:pt idx="3">
                  <c:v>004</c:v>
                </c:pt>
                <c:pt idx="4">
                  <c:v>005</c:v>
                </c:pt>
                <c:pt idx="5">
                  <c:v>006</c:v>
                </c:pt>
                <c:pt idx="6">
                  <c:v>007</c:v>
                </c:pt>
                <c:pt idx="7">
                  <c:v>008</c:v>
                </c:pt>
                <c:pt idx="8">
                  <c:v>009</c:v>
                </c:pt>
                <c:pt idx="9">
                  <c:v>010</c:v>
                </c:pt>
                <c:pt idx="10">
                  <c:v>011</c:v>
                </c:pt>
              </c:strCache>
            </c:strRef>
          </c:cat>
          <c:val>
            <c:numRef>
              <c:f>'Diagrama de Gantt'!$G$7:$G$17</c:f>
              <c:numCache>
                <c:formatCode>0</c:formatCode>
                <c:ptCount val="11"/>
                <c:pt idx="0">
                  <c:v>39</c:v>
                </c:pt>
                <c:pt idx="1">
                  <c:v>21</c:v>
                </c:pt>
                <c:pt idx="2">
                  <c:v>21</c:v>
                </c:pt>
                <c:pt idx="3">
                  <c:v>35</c:v>
                </c:pt>
                <c:pt idx="4">
                  <c:v>26</c:v>
                </c:pt>
                <c:pt idx="5">
                  <c:v>23</c:v>
                </c:pt>
                <c:pt idx="6">
                  <c:v>69</c:v>
                </c:pt>
                <c:pt idx="7">
                  <c:v>21</c:v>
                </c:pt>
                <c:pt idx="8">
                  <c:v>7</c:v>
                </c:pt>
                <c:pt idx="9">
                  <c:v>7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59-42FF-BE69-01C4E296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4433328"/>
        <c:axId val="294434312"/>
      </c:barChart>
      <c:catAx>
        <c:axId val="2944333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94434312"/>
        <c:crosses val="autoZero"/>
        <c:auto val="1"/>
        <c:lblAlgn val="ctr"/>
        <c:lblOffset val="100"/>
        <c:noMultiLvlLbl val="0"/>
      </c:catAx>
      <c:valAx>
        <c:axId val="294434312"/>
        <c:scaling>
          <c:orientation val="minMax"/>
          <c:max val="43972"/>
          <c:min val="43836"/>
        </c:scaling>
        <c:delete val="0"/>
        <c:axPos val="t"/>
        <c:majorGridlines>
          <c:spPr>
            <a:ln w="9525" cap="flat" cmpd="sng" algn="ctr">
              <a:solidFill>
                <a:schemeClr val="bg1"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9443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33336</xdr:colOff>
      <xdr:row>18</xdr:row>
      <xdr:rowOff>171450</xdr:rowOff>
    </xdr:from>
    <xdr:to>
      <xdr:col>11</xdr:col>
      <xdr:colOff>419099</xdr:colOff>
      <xdr:row>34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0A5E624-3255-498B-BDBB-77E72E2398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5B5A7-675F-4717-9B6F-CDD59B9953A8}">
  <sheetPr codeName="Hoja1"/>
  <dimension ref="B2:AA17"/>
  <sheetViews>
    <sheetView workbookViewId="0">
      <selection activeCell="F16" sqref="F16"/>
    </sheetView>
  </sheetViews>
  <sheetFormatPr baseColWidth="10" defaultRowHeight="14.25" x14ac:dyDescent="0.2"/>
  <cols>
    <col min="1" max="1" width="10" style="1" customWidth="1"/>
    <col min="2" max="2" width="13.140625" style="1" customWidth="1"/>
    <col min="3" max="3" width="15" style="1" customWidth="1"/>
    <col min="4" max="4" width="16.7109375" style="1" customWidth="1"/>
    <col min="5" max="5" width="11.42578125" style="1"/>
    <col min="6" max="7" width="14.140625" style="1" customWidth="1"/>
    <col min="8" max="8" width="11.42578125" style="1"/>
    <col min="9" max="9" width="14.28515625" style="1" bestFit="1" customWidth="1"/>
    <col min="10" max="11" width="11.42578125" style="1"/>
    <col min="12" max="12" width="10.42578125" style="1" customWidth="1"/>
    <col min="13" max="13" width="19.42578125" style="1" customWidth="1"/>
    <col min="14" max="14" width="28" style="1" customWidth="1"/>
    <col min="15" max="18" width="11.42578125" style="1"/>
    <col min="19" max="19" width="36.140625" style="1" customWidth="1"/>
    <col min="20" max="16384" width="11.42578125" style="1"/>
  </cols>
  <sheetData>
    <row r="2" spans="2:27" x14ac:dyDescent="0.2">
      <c r="B2" s="36" t="s">
        <v>0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R2" s="36" t="s">
        <v>32</v>
      </c>
      <c r="S2" s="36"/>
      <c r="T2" s="7"/>
      <c r="U2" s="7"/>
      <c r="V2" s="7"/>
      <c r="W2" s="7"/>
      <c r="X2" s="7"/>
      <c r="Y2" s="7"/>
      <c r="Z2" s="7"/>
      <c r="AA2" s="7"/>
    </row>
    <row r="3" spans="2:27" x14ac:dyDescent="0.2"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R3" s="36"/>
      <c r="S3" s="36"/>
      <c r="T3" s="7"/>
      <c r="U3" s="7"/>
      <c r="V3" s="7"/>
      <c r="W3" s="7"/>
      <c r="X3" s="7"/>
      <c r="Y3" s="7"/>
      <c r="Z3" s="7"/>
      <c r="AA3" s="7"/>
    </row>
    <row r="4" spans="2:27" ht="15" thickBot="1" x14ac:dyDescent="0.25">
      <c r="B4" s="38" t="s">
        <v>1</v>
      </c>
      <c r="C4" s="38"/>
      <c r="D4" s="39" t="s">
        <v>2</v>
      </c>
      <c r="E4" s="39"/>
      <c r="F4" s="39"/>
      <c r="G4" s="39"/>
      <c r="H4" s="39"/>
      <c r="I4" s="11" t="s">
        <v>3</v>
      </c>
      <c r="J4" s="12">
        <v>43836</v>
      </c>
      <c r="K4" s="11" t="s">
        <v>35</v>
      </c>
      <c r="L4" s="22">
        <v>8946556</v>
      </c>
      <c r="M4" s="14" t="s">
        <v>20</v>
      </c>
      <c r="N4" s="13" t="s">
        <v>37</v>
      </c>
      <c r="O4" s="11" t="s">
        <v>31</v>
      </c>
      <c r="P4" s="6"/>
      <c r="Q4" s="6"/>
      <c r="R4" s="19" t="s">
        <v>35</v>
      </c>
      <c r="S4" s="20" t="s">
        <v>33</v>
      </c>
    </row>
    <row r="5" spans="2:27" x14ac:dyDescent="0.2">
      <c r="P5" s="6"/>
      <c r="Q5" s="6"/>
      <c r="R5" s="15">
        <v>8943556</v>
      </c>
      <c r="S5" s="21" t="s">
        <v>34</v>
      </c>
    </row>
    <row r="6" spans="2:27" x14ac:dyDescent="0.2">
      <c r="B6" s="34" t="s">
        <v>8</v>
      </c>
      <c r="C6" s="34"/>
      <c r="D6" s="34"/>
      <c r="E6" s="2" t="s">
        <v>4</v>
      </c>
      <c r="F6" s="2" t="s">
        <v>5</v>
      </c>
      <c r="G6" s="2" t="s">
        <v>45</v>
      </c>
      <c r="H6" s="34" t="s">
        <v>6</v>
      </c>
      <c r="I6" s="34"/>
      <c r="J6" s="34"/>
      <c r="K6" s="34"/>
      <c r="L6" s="2" t="s">
        <v>35</v>
      </c>
      <c r="M6" s="2" t="s">
        <v>36</v>
      </c>
      <c r="N6" s="3" t="s">
        <v>7</v>
      </c>
      <c r="O6" s="2" t="s">
        <v>10</v>
      </c>
      <c r="P6" s="7"/>
      <c r="Q6" s="7"/>
      <c r="R6" s="16"/>
      <c r="S6" s="17"/>
    </row>
    <row r="7" spans="2:27" x14ac:dyDescent="0.2">
      <c r="B7" s="35" t="s">
        <v>9</v>
      </c>
      <c r="C7" s="35"/>
      <c r="D7" s="35"/>
      <c r="E7" s="9">
        <v>43836</v>
      </c>
      <c r="F7" s="8">
        <v>43875</v>
      </c>
      <c r="G7" s="33">
        <f>F7-E7</f>
        <v>39</v>
      </c>
      <c r="H7" s="35"/>
      <c r="I7" s="35"/>
      <c r="J7" s="35"/>
      <c r="K7" s="35"/>
      <c r="L7" s="31" t="s">
        <v>21</v>
      </c>
      <c r="M7" s="4">
        <v>8943556</v>
      </c>
      <c r="N7" s="32" t="str">
        <f>IFERROR(VLOOKUP(M7,$R$5:$S$7,2,),"")</f>
        <v>Juan Sebastián Reyes Leyton</v>
      </c>
      <c r="O7" s="5" t="str">
        <f ca="1">IF(Estatus!C5 = "Done", "Finalizado", "En proceso")</f>
        <v>Finalizado</v>
      </c>
      <c r="P7" s="6"/>
      <c r="Q7" s="6"/>
      <c r="R7" s="18"/>
      <c r="S7" s="17"/>
    </row>
    <row r="8" spans="2:27" x14ac:dyDescent="0.2">
      <c r="B8" s="37" t="s">
        <v>11</v>
      </c>
      <c r="C8" s="37"/>
      <c r="D8" s="37"/>
      <c r="E8" s="9">
        <v>43858</v>
      </c>
      <c r="F8" s="10">
        <v>43879</v>
      </c>
      <c r="G8" s="33">
        <f t="shared" ref="G8:G17" si="0">F8-E8</f>
        <v>21</v>
      </c>
      <c r="H8" s="37"/>
      <c r="I8" s="37"/>
      <c r="J8" s="37"/>
      <c r="K8" s="37"/>
      <c r="L8" s="31" t="s">
        <v>22</v>
      </c>
      <c r="M8" s="4">
        <v>8943556</v>
      </c>
      <c r="N8" s="32" t="str">
        <f t="shared" ref="N8:N17" si="1">IFERROR(VLOOKUP(M8,$R$5:$S$7,2,),"")</f>
        <v>Juan Sebastián Reyes Leyton</v>
      </c>
      <c r="O8" s="5" t="str">
        <f ca="1">IF(Estatus!C6 = "Done", "Finalizado", "En proceso")</f>
        <v>En proceso</v>
      </c>
    </row>
    <row r="9" spans="2:27" x14ac:dyDescent="0.2">
      <c r="B9" s="35" t="s">
        <v>12</v>
      </c>
      <c r="C9" s="35"/>
      <c r="D9" s="35"/>
      <c r="E9" s="9">
        <v>43858</v>
      </c>
      <c r="F9" s="10">
        <v>43879</v>
      </c>
      <c r="G9" s="33">
        <f t="shared" si="0"/>
        <v>21</v>
      </c>
      <c r="H9" s="35"/>
      <c r="I9" s="35"/>
      <c r="J9" s="35"/>
      <c r="K9" s="35"/>
      <c r="L9" s="31" t="s">
        <v>23</v>
      </c>
      <c r="M9" s="4">
        <v>8943556</v>
      </c>
      <c r="N9" s="32" t="str">
        <f t="shared" si="1"/>
        <v>Juan Sebastián Reyes Leyton</v>
      </c>
      <c r="O9" s="5" t="str">
        <f ca="1">IF(Estatus!C7 = "Done", "Finalizado", "En proceso")</f>
        <v>En proceso</v>
      </c>
    </row>
    <row r="10" spans="2:27" x14ac:dyDescent="0.2">
      <c r="B10" s="35" t="s">
        <v>13</v>
      </c>
      <c r="C10" s="35"/>
      <c r="D10" s="35"/>
      <c r="E10" s="9">
        <v>43860</v>
      </c>
      <c r="F10" s="8">
        <v>43895</v>
      </c>
      <c r="G10" s="33">
        <f t="shared" si="0"/>
        <v>35</v>
      </c>
      <c r="H10" s="35"/>
      <c r="I10" s="35"/>
      <c r="J10" s="35"/>
      <c r="K10" s="35"/>
      <c r="L10" s="31" t="s">
        <v>24</v>
      </c>
      <c r="M10" s="4">
        <v>8943556</v>
      </c>
      <c r="N10" s="32" t="str">
        <f t="shared" si="1"/>
        <v>Juan Sebastián Reyes Leyton</v>
      </c>
      <c r="O10" s="5" t="str">
        <f ca="1">IF(Estatus!C8 = "Done", "Finalizado", "En proceso")</f>
        <v>En proceso</v>
      </c>
    </row>
    <row r="11" spans="2:27" x14ac:dyDescent="0.2">
      <c r="B11" s="35" t="s">
        <v>14</v>
      </c>
      <c r="C11" s="35"/>
      <c r="D11" s="35"/>
      <c r="E11" s="9">
        <v>43895</v>
      </c>
      <c r="F11" s="8">
        <v>43921</v>
      </c>
      <c r="G11" s="33">
        <f t="shared" si="0"/>
        <v>26</v>
      </c>
      <c r="H11" s="35"/>
      <c r="I11" s="35"/>
      <c r="J11" s="35"/>
      <c r="K11" s="35"/>
      <c r="L11" s="31" t="s">
        <v>25</v>
      </c>
      <c r="M11" s="4">
        <v>8943556</v>
      </c>
      <c r="N11" s="32" t="str">
        <f t="shared" si="1"/>
        <v>Juan Sebastián Reyes Leyton</v>
      </c>
      <c r="O11" s="5" t="str">
        <f ca="1">IF(Estatus!C9 = "Done", "Finalizado", "En proceso")</f>
        <v>En proceso</v>
      </c>
    </row>
    <row r="12" spans="2:27" x14ac:dyDescent="0.2">
      <c r="B12" s="35" t="s">
        <v>15</v>
      </c>
      <c r="C12" s="35"/>
      <c r="D12" s="35"/>
      <c r="E12" s="9">
        <v>43921</v>
      </c>
      <c r="F12" s="8">
        <v>43944</v>
      </c>
      <c r="G12" s="33">
        <f t="shared" si="0"/>
        <v>23</v>
      </c>
      <c r="H12" s="35"/>
      <c r="I12" s="35"/>
      <c r="J12" s="35"/>
      <c r="K12" s="35"/>
      <c r="L12" s="31" t="s">
        <v>26</v>
      </c>
      <c r="M12" s="4">
        <v>8943556</v>
      </c>
      <c r="N12" s="32" t="str">
        <f t="shared" si="1"/>
        <v>Juan Sebastián Reyes Leyton</v>
      </c>
      <c r="O12" s="5" t="str">
        <f ca="1">IF(Estatus!C10 = "Done", "Finalizado", "En proceso")</f>
        <v>En proceso</v>
      </c>
    </row>
    <row r="13" spans="2:27" x14ac:dyDescent="0.2">
      <c r="B13" s="35" t="s">
        <v>16</v>
      </c>
      <c r="C13" s="35"/>
      <c r="D13" s="35"/>
      <c r="E13" s="9">
        <v>43875</v>
      </c>
      <c r="F13" s="8">
        <v>43944</v>
      </c>
      <c r="G13" s="33">
        <f t="shared" si="0"/>
        <v>69</v>
      </c>
      <c r="H13" s="35"/>
      <c r="I13" s="35"/>
      <c r="J13" s="35"/>
      <c r="K13" s="35"/>
      <c r="L13" s="31" t="s">
        <v>27</v>
      </c>
      <c r="M13" s="4">
        <v>8943556</v>
      </c>
      <c r="N13" s="32" t="str">
        <f t="shared" si="1"/>
        <v>Juan Sebastián Reyes Leyton</v>
      </c>
      <c r="O13" s="5" t="str">
        <f ca="1">IF(Estatus!C11 = "Done", "Finalizado", "En proceso")</f>
        <v>En proceso</v>
      </c>
    </row>
    <row r="14" spans="2:27" x14ac:dyDescent="0.2">
      <c r="B14" s="35" t="s">
        <v>17</v>
      </c>
      <c r="C14" s="35"/>
      <c r="D14" s="35"/>
      <c r="E14" s="9">
        <v>43944</v>
      </c>
      <c r="F14" s="8">
        <v>43965</v>
      </c>
      <c r="G14" s="33">
        <f t="shared" si="0"/>
        <v>21</v>
      </c>
      <c r="H14" s="35"/>
      <c r="I14" s="35"/>
      <c r="J14" s="35"/>
      <c r="K14" s="35"/>
      <c r="L14" s="31" t="s">
        <v>28</v>
      </c>
      <c r="M14" s="4">
        <v>8943556</v>
      </c>
      <c r="N14" s="32" t="str">
        <f t="shared" si="1"/>
        <v>Juan Sebastián Reyes Leyton</v>
      </c>
      <c r="O14" s="5" t="str">
        <f ca="1">IF(Estatus!C12 = "Done", "Finalizado", "En proceso")</f>
        <v>En proceso</v>
      </c>
    </row>
    <row r="15" spans="2:27" x14ac:dyDescent="0.2">
      <c r="B15" s="35" t="s">
        <v>18</v>
      </c>
      <c r="C15" s="35"/>
      <c r="D15" s="35"/>
      <c r="E15" s="9">
        <v>43965</v>
      </c>
      <c r="F15" s="8">
        <v>43972</v>
      </c>
      <c r="G15" s="33">
        <f t="shared" si="0"/>
        <v>7</v>
      </c>
      <c r="H15" s="35"/>
      <c r="I15" s="35"/>
      <c r="J15" s="35"/>
      <c r="K15" s="35"/>
      <c r="L15" s="31" t="s">
        <v>29</v>
      </c>
      <c r="M15" s="4">
        <v>8943556</v>
      </c>
      <c r="N15" s="32" t="str">
        <f t="shared" si="1"/>
        <v>Juan Sebastián Reyes Leyton</v>
      </c>
      <c r="O15" s="5" t="str">
        <f ca="1">IF(Estatus!C13 = "Done", "Finalizado", "En proceso")</f>
        <v>En proceso</v>
      </c>
    </row>
    <row r="16" spans="2:27" x14ac:dyDescent="0.2">
      <c r="B16" s="35" t="s">
        <v>19</v>
      </c>
      <c r="C16" s="35"/>
      <c r="D16" s="35"/>
      <c r="E16" s="9">
        <v>43965</v>
      </c>
      <c r="F16" s="8">
        <v>43972</v>
      </c>
      <c r="G16" s="33">
        <f t="shared" si="0"/>
        <v>7</v>
      </c>
      <c r="H16" s="35"/>
      <c r="I16" s="35"/>
      <c r="J16" s="35"/>
      <c r="K16" s="35"/>
      <c r="L16" s="31" t="s">
        <v>30</v>
      </c>
      <c r="M16" s="4">
        <v>8943556</v>
      </c>
      <c r="N16" s="32" t="str">
        <f t="shared" si="1"/>
        <v>Juan Sebastián Reyes Leyton</v>
      </c>
      <c r="O16" s="5" t="str">
        <f ca="1">IF(Estatus!C14 = "Done", "Finalizado", "En proceso")</f>
        <v>En proceso</v>
      </c>
    </row>
    <row r="17" spans="2:15" x14ac:dyDescent="0.2">
      <c r="B17" s="35" t="s">
        <v>40</v>
      </c>
      <c r="C17" s="35"/>
      <c r="D17" s="35"/>
      <c r="E17" s="9">
        <v>43858</v>
      </c>
      <c r="F17" s="8">
        <v>43870</v>
      </c>
      <c r="G17" s="33">
        <f t="shared" si="0"/>
        <v>12</v>
      </c>
      <c r="H17" s="35"/>
      <c r="I17" s="35"/>
      <c r="J17" s="35"/>
      <c r="K17" s="35"/>
      <c r="L17" s="31" t="s">
        <v>39</v>
      </c>
      <c r="M17" s="4">
        <v>8943556</v>
      </c>
      <c r="N17" s="32" t="str">
        <f t="shared" si="1"/>
        <v>Juan Sebastián Reyes Leyton</v>
      </c>
      <c r="O17" s="5" t="str">
        <f ca="1">IF(Estatus!C15 = "Done", "Finalizado", "En proceso")</f>
        <v>Finalizado</v>
      </c>
    </row>
  </sheetData>
  <autoFilter ref="B6:O16" xr:uid="{829ED410-8FB2-44B7-92FD-3D03B7E05D9B}">
    <filterColumn colId="0" showButton="0"/>
    <filterColumn colId="1" showButton="0"/>
    <filterColumn colId="6" showButton="0"/>
    <filterColumn colId="7" showButton="0"/>
    <filterColumn colId="8" showButton="0"/>
  </autoFilter>
  <mergeCells count="28">
    <mergeCell ref="B2:O3"/>
    <mergeCell ref="R2:S3"/>
    <mergeCell ref="B14:D14"/>
    <mergeCell ref="H14:K14"/>
    <mergeCell ref="B15:D15"/>
    <mergeCell ref="H15:K15"/>
    <mergeCell ref="B7:D7"/>
    <mergeCell ref="B8:D8"/>
    <mergeCell ref="B9:D9"/>
    <mergeCell ref="B10:D10"/>
    <mergeCell ref="H7:K7"/>
    <mergeCell ref="H8:K8"/>
    <mergeCell ref="H9:K9"/>
    <mergeCell ref="H10:K10"/>
    <mergeCell ref="B4:C4"/>
    <mergeCell ref="D4:H4"/>
    <mergeCell ref="B6:D6"/>
    <mergeCell ref="H6:K6"/>
    <mergeCell ref="B17:D17"/>
    <mergeCell ref="H17:K17"/>
    <mergeCell ref="B16:D16"/>
    <mergeCell ref="H16:K16"/>
    <mergeCell ref="B11:D11"/>
    <mergeCell ref="H11:K11"/>
    <mergeCell ref="B12:D12"/>
    <mergeCell ref="H12:K12"/>
    <mergeCell ref="B13:D13"/>
    <mergeCell ref="H13:K13"/>
  </mergeCells>
  <phoneticPr fontId="4" type="noConversion"/>
  <conditionalFormatting sqref="O8:O17">
    <cfRule type="cellIs" dxfId="0" priority="1" operator="equal">
      <formula>"""Finalizado"""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D0721-2571-4FA3-BFA7-A7FCAC25F854}">
  <dimension ref="B2:E15"/>
  <sheetViews>
    <sheetView tabSelected="1" workbookViewId="0">
      <selection activeCell="F7" sqref="F7"/>
    </sheetView>
  </sheetViews>
  <sheetFormatPr baseColWidth="10" defaultRowHeight="15" x14ac:dyDescent="0.25"/>
  <cols>
    <col min="2" max="2" width="7.5703125" bestFit="1" customWidth="1"/>
    <col min="3" max="3" width="25.85546875" customWidth="1"/>
  </cols>
  <sheetData>
    <row r="2" spans="2:5" ht="15" customHeight="1" x14ac:dyDescent="0.25">
      <c r="B2" s="36" t="s">
        <v>38</v>
      </c>
      <c r="C2" s="36"/>
      <c r="D2" s="36"/>
      <c r="E2" s="36"/>
    </row>
    <row r="3" spans="2:5" ht="15" customHeight="1" x14ac:dyDescent="0.25">
      <c r="B3" s="40"/>
      <c r="C3" s="40"/>
      <c r="D3" s="40"/>
      <c r="E3" s="40"/>
    </row>
    <row r="4" spans="2:5" ht="15.75" thickBot="1" x14ac:dyDescent="0.3">
      <c r="B4" s="27" t="s">
        <v>44</v>
      </c>
      <c r="C4" s="26" t="s">
        <v>41</v>
      </c>
      <c r="D4" s="28" t="s">
        <v>42</v>
      </c>
      <c r="E4" s="26" t="s">
        <v>43</v>
      </c>
    </row>
    <row r="5" spans="2:5" ht="15.75" thickBot="1" x14ac:dyDescent="0.3">
      <c r="B5" s="23" t="s">
        <v>21</v>
      </c>
      <c r="C5" s="21" t="str">
        <f ca="1">IF(E5= 0,"Done", IF(E5 &lt;= 10,"Urgent", IF(E5 &lt;= 20, "High", IF(E5 &lt;=40, "Medium", IF(E5 &lt;= 70, "Low", "Queu")))))</f>
        <v>Done</v>
      </c>
      <c r="D5" s="29">
        <f ca="1" xml:space="preserve"> 1 - (E5/('Diagrama de Gantt'!$F$16 - 'Diagrama de Gantt'!$E$7))</f>
        <v>1</v>
      </c>
      <c r="E5" s="30">
        <f ca="1">IF('Diagrama de Gantt'!F7 - TODAY()&gt;= 0, 'Diagrama de Gantt'!F7 - TODAY(), 0)</f>
        <v>0</v>
      </c>
    </row>
    <row r="6" spans="2:5" ht="15.75" thickBot="1" x14ac:dyDescent="0.3">
      <c r="B6" s="23" t="s">
        <v>22</v>
      </c>
      <c r="C6" s="21" t="str">
        <f t="shared" ref="C6:C15" ca="1" si="0">IF(E6= 0,"Done", IF(E6 &lt;= 10,"Urgent", IF(E6 &lt;= 20, "High", IF(E6 &lt;=40, "Medium", IF(E6 &lt;= 70, "Low", "Queu")))))</f>
        <v>Urgent</v>
      </c>
      <c r="D6" s="29">
        <f ca="1" xml:space="preserve"> 1 - (E6/('Diagrama de Gantt'!$F$16 - 'Diagrama de Gantt'!$E$7))</f>
        <v>0.97058823529411764</v>
      </c>
      <c r="E6" s="30">
        <f ca="1">IF('Diagrama de Gantt'!F8 - TODAY()&gt;= 0, 'Diagrama de Gantt'!F8 - TODAY(), 0)</f>
        <v>4</v>
      </c>
    </row>
    <row r="7" spans="2:5" ht="15.75" thickBot="1" x14ac:dyDescent="0.3">
      <c r="B7" s="23" t="s">
        <v>23</v>
      </c>
      <c r="C7" s="21" t="str">
        <f t="shared" ca="1" si="0"/>
        <v>Urgent</v>
      </c>
      <c r="D7" s="29">
        <f ca="1" xml:space="preserve"> 1 - (E7/('Diagrama de Gantt'!$F$16 - 'Diagrama de Gantt'!$E$7))</f>
        <v>0.97058823529411764</v>
      </c>
      <c r="E7" s="30">
        <f ca="1">IF('Diagrama de Gantt'!F9 - TODAY()&gt;= 0, 'Diagrama de Gantt'!F9 - TODAY(), 0)</f>
        <v>4</v>
      </c>
    </row>
    <row r="8" spans="2:5" ht="15.75" thickBot="1" x14ac:dyDescent="0.3">
      <c r="B8" s="23" t="s">
        <v>24</v>
      </c>
      <c r="C8" s="21" t="str">
        <f t="shared" ca="1" si="0"/>
        <v>High</v>
      </c>
      <c r="D8" s="29">
        <f ca="1" xml:space="preserve"> 1 - (E8/('Diagrama de Gantt'!$F$16 - 'Diagrama de Gantt'!$E$7))</f>
        <v>0.8529411764705882</v>
      </c>
      <c r="E8" s="30">
        <f ca="1">IF('Diagrama de Gantt'!F10 - TODAY()&gt;= 0, 'Diagrama de Gantt'!F10 - TODAY(), 0)</f>
        <v>20</v>
      </c>
    </row>
    <row r="9" spans="2:5" ht="15.75" thickBot="1" x14ac:dyDescent="0.3">
      <c r="B9" s="23" t="s">
        <v>25</v>
      </c>
      <c r="C9" s="21" t="str">
        <f t="shared" ca="1" si="0"/>
        <v>Low</v>
      </c>
      <c r="D9" s="29">
        <f ca="1" xml:space="preserve"> 1 - (E9/('Diagrama de Gantt'!$F$16 - 'Diagrama de Gantt'!$E$7))</f>
        <v>0.66176470588235292</v>
      </c>
      <c r="E9" s="30">
        <f ca="1">IF('Diagrama de Gantt'!F11 - TODAY()&gt;= 0, 'Diagrama de Gantt'!F11 - TODAY(), 0)</f>
        <v>46</v>
      </c>
    </row>
    <row r="10" spans="2:5" ht="15.75" thickBot="1" x14ac:dyDescent="0.3">
      <c r="B10" s="23" t="s">
        <v>26</v>
      </c>
      <c r="C10" s="21" t="str">
        <f t="shared" ca="1" si="0"/>
        <v>Low</v>
      </c>
      <c r="D10" s="29">
        <f ca="1" xml:space="preserve"> 1 - (E10/('Diagrama de Gantt'!$F$16 - 'Diagrama de Gantt'!$E$7))</f>
        <v>0.49264705882352944</v>
      </c>
      <c r="E10" s="30">
        <f ca="1">IF('Diagrama de Gantt'!F12 - TODAY()&gt;= 0, 'Diagrama de Gantt'!F12 - TODAY(), 0)</f>
        <v>69</v>
      </c>
    </row>
    <row r="11" spans="2:5" ht="15.75" thickBot="1" x14ac:dyDescent="0.3">
      <c r="B11" s="23" t="s">
        <v>27</v>
      </c>
      <c r="C11" s="21" t="str">
        <f t="shared" ca="1" si="0"/>
        <v>Low</v>
      </c>
      <c r="D11" s="29">
        <f ca="1" xml:space="preserve"> 1 - (E11/('Diagrama de Gantt'!$F$16 - 'Diagrama de Gantt'!$E$7))</f>
        <v>0.49264705882352944</v>
      </c>
      <c r="E11" s="30">
        <f ca="1">IF('Diagrama de Gantt'!F13 - TODAY()&gt;= 0, 'Diagrama de Gantt'!F13 - TODAY(), 0)</f>
        <v>69</v>
      </c>
    </row>
    <row r="12" spans="2:5" ht="15.75" thickBot="1" x14ac:dyDescent="0.3">
      <c r="B12" s="23" t="s">
        <v>28</v>
      </c>
      <c r="C12" s="21" t="str">
        <f t="shared" ca="1" si="0"/>
        <v>Queu</v>
      </c>
      <c r="D12" s="29">
        <f ca="1" xml:space="preserve"> 1 - (E12/('Diagrama de Gantt'!$F$16 - 'Diagrama de Gantt'!$E$7))</f>
        <v>0.33823529411764708</v>
      </c>
      <c r="E12" s="30">
        <f ca="1">IF('Diagrama de Gantt'!F14 - TODAY()&gt;= 0, 'Diagrama de Gantt'!F14 - TODAY(), 0)</f>
        <v>90</v>
      </c>
    </row>
    <row r="13" spans="2:5" ht="15.75" thickBot="1" x14ac:dyDescent="0.3">
      <c r="B13" s="25" t="s">
        <v>29</v>
      </c>
      <c r="C13" s="21" t="str">
        <f t="shared" ca="1" si="0"/>
        <v>Queu</v>
      </c>
      <c r="D13" s="29">
        <f ca="1" xml:space="preserve"> 1 - (E13/('Diagrama de Gantt'!$F$16 - 'Diagrama de Gantt'!$E$7))</f>
        <v>0.28676470588235292</v>
      </c>
      <c r="E13" s="30">
        <f ca="1">IF('Diagrama de Gantt'!F15 - TODAY()&gt;= 0, 'Diagrama de Gantt'!F15 - TODAY(), 0)</f>
        <v>97</v>
      </c>
    </row>
    <row r="14" spans="2:5" ht="15.75" thickBot="1" x14ac:dyDescent="0.3">
      <c r="B14" s="23" t="s">
        <v>30</v>
      </c>
      <c r="C14" s="21" t="str">
        <f t="shared" ca="1" si="0"/>
        <v>Queu</v>
      </c>
      <c r="D14" s="29">
        <f ca="1" xml:space="preserve"> 1 - (E14/('Diagrama de Gantt'!$F$16 - 'Diagrama de Gantt'!$E$7))</f>
        <v>0.28676470588235292</v>
      </c>
      <c r="E14" s="30">
        <f ca="1">IF('Diagrama de Gantt'!F16 - TODAY()&gt;= 0, 'Diagrama de Gantt'!F16 - TODAY(), 0)</f>
        <v>97</v>
      </c>
    </row>
    <row r="15" spans="2:5" x14ac:dyDescent="0.25">
      <c r="B15" s="24" t="s">
        <v>39</v>
      </c>
      <c r="C15" s="21" t="str">
        <f t="shared" ca="1" si="0"/>
        <v>Done</v>
      </c>
      <c r="D15" s="29">
        <f ca="1" xml:space="preserve"> 1 - (E15/('Diagrama de Gantt'!$F$16 - 'Diagrama de Gantt'!$E$7))</f>
        <v>1</v>
      </c>
      <c r="E15" s="30">
        <f ca="1">IF('Diagrama de Gantt'!F17 - TODAY()&gt;= 0, 'Diagrama de Gantt'!F17 - TODAY(), 0)</f>
        <v>0</v>
      </c>
    </row>
  </sheetData>
  <mergeCells count="1">
    <mergeCell ref="B2:E3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Diagrama de Gantt</vt:lpstr>
      <vt:lpstr>Estatus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leyton</dc:creator>
  <cp:lastModifiedBy>juan leyton</cp:lastModifiedBy>
  <dcterms:created xsi:type="dcterms:W3CDTF">2020-02-14T16:55:34Z</dcterms:created>
  <dcterms:modified xsi:type="dcterms:W3CDTF">2020-02-15T01:38:21Z</dcterms:modified>
</cp:coreProperties>
</file>