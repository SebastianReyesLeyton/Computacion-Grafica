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2109D909-C6D8-E34B-4C66-09127ED2DC46}"/>
  <fileSharing readOnlyRecommended="1"/>
  <workbookPr codeName="ThisWorkbook" defaultThemeVersion="166925"/>
  <mc:AlternateContent xmlns:mc="http://schemas.openxmlformats.org/markup-compatibility/2006">
    <mc:Choice Requires="x15">
      <x15ac:absPath xmlns:x15ac="http://schemas.microsoft.com/office/spreadsheetml/2010/11/ac" url="https://d.docs.live.net/5342f7dc59d8b0e8/Documentos/UNIVERSIDAD/SEMESTRE V/Computacion Grafica/Proyecto/Information/"/>
    </mc:Choice>
  </mc:AlternateContent>
  <xr:revisionPtr revIDLastSave="0" documentId="14_{97B85F58-667D-45AC-89C7-E06D454A43A3}" xr6:coauthVersionLast="45" xr6:coauthVersionMax="45" xr10:uidLastSave="{00000000-0000-0000-0000-000000000000}"/>
  <bookViews>
    <workbookView xWindow="-120" yWindow="-120" windowWidth="20730" windowHeight="11160" activeTab="1" xr2:uid="{1A130001-6DA1-41A8-A7A4-02D05E95C532}"/>
  </bookViews>
  <sheets>
    <sheet name="Diagrama de Gantt" sheetId="1" r:id="rId1"/>
    <sheet name="Estatus" sheetId="2" r:id="rId2"/>
  </sheets>
  <definedNames>
    <definedName name="_xlnm._FilterDatabase" localSheetId="0" hidden="1">'Diagrama de Gantt'!$B$6:$O$17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8" i="1" l="1"/>
  <c r="N9" i="1"/>
  <c r="N10" i="1"/>
  <c r="N11" i="1"/>
  <c r="N12" i="1"/>
  <c r="N13" i="1"/>
  <c r="N14" i="1"/>
  <c r="N15" i="1"/>
  <c r="N16" i="1"/>
  <c r="N17" i="1"/>
  <c r="N7" i="1"/>
  <c r="G8" i="1" l="1"/>
  <c r="G9" i="1"/>
  <c r="G10" i="1"/>
  <c r="G11" i="1"/>
  <c r="G12" i="1"/>
  <c r="G13" i="1"/>
  <c r="G14" i="1"/>
  <c r="G15" i="1"/>
  <c r="G16" i="1"/>
  <c r="G17" i="1"/>
  <c r="G7" i="1"/>
  <c r="E5" i="2"/>
  <c r="E6" i="2"/>
  <c r="E7" i="2"/>
  <c r="E8" i="2"/>
  <c r="E9" i="2"/>
  <c r="E10" i="2"/>
  <c r="E11" i="2"/>
  <c r="E12" i="2"/>
  <c r="E13" i="2"/>
  <c r="E14" i="2"/>
  <c r="E15" i="2"/>
  <c r="C12" i="2" l="1"/>
  <c r="O14" i="1" s="1"/>
  <c r="D12" i="2"/>
  <c r="C8" i="2"/>
  <c r="O10" i="1" s="1"/>
  <c r="D8" i="2"/>
  <c r="C9" i="2"/>
  <c r="O11" i="1" s="1"/>
  <c r="D9" i="2"/>
  <c r="C15" i="2"/>
  <c r="O17" i="1" s="1"/>
  <c r="D15" i="2"/>
  <c r="C11" i="2"/>
  <c r="O13" i="1" s="1"/>
  <c r="D11" i="2"/>
  <c r="C7" i="2"/>
  <c r="O9" i="1" s="1"/>
  <c r="D7" i="2"/>
  <c r="C13" i="2"/>
  <c r="O15" i="1" s="1"/>
  <c r="D13" i="2"/>
  <c r="C14" i="2"/>
  <c r="O16" i="1" s="1"/>
  <c r="D14" i="2"/>
  <c r="C10" i="2"/>
  <c r="O12" i="1" s="1"/>
  <c r="D10" i="2"/>
  <c r="C6" i="2"/>
  <c r="O8" i="1" s="1"/>
  <c r="D6" i="2"/>
  <c r="C5" i="2"/>
  <c r="O7" i="1" s="1"/>
  <c r="D5" i="2"/>
</calcChain>
</file>

<file path=xl/sharedStrings.xml><?xml version="1.0" encoding="utf-8"?>
<sst xmlns="http://schemas.openxmlformats.org/spreadsheetml/2006/main" count="73" uniqueCount="60">
  <si>
    <t xml:space="preserve">DIAGRAMA DE GANTT </t>
  </si>
  <si>
    <t>Nombre del Proyecto</t>
  </si>
  <si>
    <t>Reconstrucción 3D Hacienda Cañasgordas</t>
  </si>
  <si>
    <t>Fecha de Inicio</t>
  </si>
  <si>
    <t>Inicio</t>
  </si>
  <si>
    <t>Finalización</t>
  </si>
  <si>
    <t>Descripción</t>
  </si>
  <si>
    <t>Responsable</t>
  </si>
  <si>
    <t>Nombre Tarea</t>
  </si>
  <si>
    <t>Diagrama de Gantt</t>
  </si>
  <si>
    <t>Estado</t>
  </si>
  <si>
    <t>Descripción del espacio en reconstrucción 3D</t>
  </si>
  <si>
    <t>Identificación y listado de objetos</t>
  </si>
  <si>
    <t>Diseño del mundo</t>
  </si>
  <si>
    <t>Implementación del mundo, parte 1</t>
  </si>
  <si>
    <t>Implementación del mundo, parte 2</t>
  </si>
  <si>
    <t>Ensayo, parte 1</t>
  </si>
  <si>
    <t>Implementación del mundo, parte 3</t>
  </si>
  <si>
    <t>Ensayo, parte 2</t>
  </si>
  <si>
    <t>Presentación</t>
  </si>
  <si>
    <t>Compañía</t>
  </si>
  <si>
    <t>001</t>
  </si>
  <si>
    <t>002</t>
  </si>
  <si>
    <t>003</t>
  </si>
  <si>
    <t>004</t>
  </si>
  <si>
    <t>005</t>
  </si>
  <si>
    <t>006</t>
  </si>
  <si>
    <t>007</t>
  </si>
  <si>
    <t>008</t>
  </si>
  <si>
    <t>009</t>
  </si>
  <si>
    <t>010</t>
  </si>
  <si>
    <t>2020-1</t>
  </si>
  <si>
    <t>INTEGRANTES</t>
  </si>
  <si>
    <t>Nombre Integrante</t>
  </si>
  <si>
    <t>Juan Sebastián Reyes Leyton</t>
  </si>
  <si>
    <t>Código</t>
  </si>
  <si>
    <t>Código Responsable</t>
  </si>
  <si>
    <t>Graphics Company</t>
  </si>
  <si>
    <t>Estatus de las actividades</t>
  </si>
  <si>
    <t>011</t>
  </si>
  <si>
    <t>Asistencia a la visita de campo</t>
  </si>
  <si>
    <t>Priority</t>
  </si>
  <si>
    <t>Percentaje</t>
  </si>
  <si>
    <t>Days</t>
  </si>
  <si>
    <t>Code</t>
  </si>
  <si>
    <t>Duración</t>
  </si>
  <si>
    <t>Indique y explique cual será la estructura de su mundo virtual en términos de un diagrama de clase. Descargue, dibuje y despliegue en Blender los objetos 3D que va a incluir en su mundo virtual.</t>
  </si>
  <si>
    <t>En un documento de al menos una página indique y explique las estructuras de datos complementarias que piensa utilizar en su SW. Haga el calculo de la cantidad de memoria requerida para almacenar y desplegar sus mallas. Utilizando OpenGL, despliegue al menos 5 de las mallas del mundo. Entregue las distintas versiones del código fuente del SW (bien documentado) a través de GitHub y envíe el enlace de su repositorio. Incluya también las versiones que no funcionaron (si las hay).</t>
  </si>
  <si>
    <t>Despliegue su mundo virtual con un máximo grado de realismo utilizando Open GL. Debe incorporar movimiento de cámara y un objeto interactivo. Entregue las distintas versiones del código fuente del SW (bien documentado) a través de GitHub y envíe el enlace de su repositorio. Incluya también las versiones que no funcionaron (si las hay). Debe haber evidencia de las contribuciones individuales de cada integrante.</t>
  </si>
  <si>
    <t xml:space="preserve">Entregue una versión de su mundo utilizando Three.js. Entregue las distintas versiones del código fuente del SW (bien documentado) a través de GitHub y envíe el enlace de su repositorio. Incluya también las versiones que no funcionaron (si las hay). Debe haber evidencia de las contribuciones individuales de cada integrante.  </t>
  </si>
  <si>
    <t xml:space="preserve">Por cada empresa de Desarrollo de SW 3D (es decir, por cada grupo de trabajo), entregue un ensayo relacionado con el trabajo desarrollado este semestre. El ensayo debe tener una estructura similar al formato propuesto por la ACM: https://www.acm.org/publications/proceedings-template. </t>
  </si>
  <si>
    <t xml:space="preserve">Entregue un ensayo mejorado de acuerdo con las correcciones sugeridas al documento anterior o a los nuevos avances.  </t>
  </si>
  <si>
    <t xml:space="preserve"> En grupos, realice una presentación de sus resultados.</t>
  </si>
  <si>
    <t xml:space="preserve">Su equipo deberá indicar el nombre de su empresa y desarrollar un diagrama de Gantt </t>
  </si>
  <si>
    <t xml:space="preserve">Describa el espacio en el que va a realizar la reconstrucción de su mundo 3D. </t>
  </si>
  <si>
    <t xml:space="preserve">Además de la casa principal de la hacienda, identifique y entregue un listado de al menos 10 objetos que va a incluir en su reconstrucción 3D. En esta selección de objetos debe incluir al menos: 
Un objeto artificial (por ejemplo, muebles). 
Un objeto natural con vida (por ejemplo, persona animal o planta). 
Un objeto al que vaya a aplicar una textura. 
Un objeto que sea dibujado por ustedes en Blender (el resto de los objetos puede ser bajado de manera gratuita de sitios como TurboSquid).  </t>
  </si>
  <si>
    <t xml:space="preserve">Asista a la visita de campo a realizarse en la hacienda Cañasgordas el martes 11 de febrero de 9 a 11 am. Punto de encuentro Capilla de la Universidad, 8:45 a.m.  Tomando como insumo el texto y la visita realice un bosquejo del escenario que pretende representar. Para esto utilice SW como Paint o Gimp y esquematice las vistas que considere necesarias para explicar su mundo virtual (por ejemplo, frontal, superior o perspectiva). No olvide poner cotas e indicar el origen del mundo.  </t>
  </si>
  <si>
    <t>Juan David Gomez Quiñonez</t>
  </si>
  <si>
    <t>Todos</t>
  </si>
  <si>
    <t>Francisco Suárez Ramírez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</si>
</sst>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theme="1"/>
      <name val="Berlin Sans FB"/>
      <family val="2"/>
    </font>
    <font>
      <sz val="11"/>
      <name val="Berlin Sans FB"/>
      <family val="2"/>
    </font>
    <font>
      <sz val="11"/>
      <color theme="0"/>
      <name val="Berlin Sans FB"/>
      <family val="2"/>
    </font>
    <font>
      <sz val="8"/>
      <name val="Calibri"/>
      <family val="2"/>
      <scheme val="minor"/>
    </font>
    <font>
      <b/>
      <sz val="11"/>
      <color theme="0"/>
      <name val="Berlin Sans FB"/>
      <family val="2"/>
    </font>
    <font>
      <sz val="11"/>
      <color theme="1"/>
      <name val="Calibri"/>
      <family val="2"/>
      <scheme val="minor"/>
    </font>
  </fonts>
  <fills count="6">
    <fill>
      <patternFill patternType="none"/>
    </fill>
    <fill>
      <patternFill patternType="gray125"/>
    </fill>
    <fill>
      <patternFill patternType="solid">
        <fgColor theme="1"/>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theme="0"/>
        <bgColor indexed="64"/>
      </patternFill>
    </fill>
  </fills>
  <borders count="10">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s>
  <cellStyleXfs count="2">
    <xf numFmtId="0" fontId="0" fillId="0" borderId="0"/>
    <xf numFmtId="9" fontId="6" fillId="0" borderId="0" applyFont="0" applyFill="0" applyBorder="0" applyAlignment="0" applyProtection="0"/>
  </cellStyleXfs>
  <cellXfs count="44">
    <xf numFmtId="0" fontId="0" fillId="0" borderId="0" xfId="0"/>
    <xf numFmtId="0" fontId="1" fillId="0" borderId="0" xfId="0" applyFont="1" applyBorder="1"/>
    <xf numFmtId="0" fontId="3" fillId="2" borderId="1" xfId="0" applyFont="1" applyFill="1" applyBorder="1" applyAlignment="1">
      <alignment horizontal="center" vertical="center"/>
    </xf>
    <xf numFmtId="0" fontId="3" fillId="2" borderId="1" xfId="0" applyFont="1" applyFill="1" applyBorder="1" applyAlignment="1">
      <alignment horizontal="center"/>
    </xf>
    <xf numFmtId="0" fontId="3" fillId="0" borderId="0" xfId="0" applyFont="1" applyFill="1" applyBorder="1"/>
    <xf numFmtId="0" fontId="3" fillId="0" borderId="0" xfId="0" applyFont="1" applyFill="1" applyBorder="1" applyAlignment="1">
      <alignment vertical="center"/>
    </xf>
    <xf numFmtId="0" fontId="1" fillId="0" borderId="3" xfId="0" applyFont="1" applyBorder="1"/>
    <xf numFmtId="14" fontId="1" fillId="3" borderId="3" xfId="0" applyNumberFormat="1" applyFont="1" applyFill="1" applyBorder="1"/>
    <xf numFmtId="0" fontId="1" fillId="3" borderId="3" xfId="0" applyFont="1" applyFill="1" applyBorder="1"/>
    <xf numFmtId="0" fontId="1" fillId="0" borderId="3" xfId="0" applyFont="1" applyFill="1" applyBorder="1"/>
    <xf numFmtId="0" fontId="2" fillId="4" borderId="5" xfId="0" applyFont="1" applyFill="1" applyBorder="1"/>
    <xf numFmtId="0" fontId="2" fillId="4" borderId="2" xfId="0" applyFont="1" applyFill="1" applyBorder="1" applyAlignment="1">
      <alignment vertical="center"/>
    </xf>
    <xf numFmtId="0" fontId="2" fillId="4" borderId="2" xfId="0" applyFont="1" applyFill="1" applyBorder="1"/>
    <xf numFmtId="0" fontId="2" fillId="4" borderId="3" xfId="0" applyFont="1" applyFill="1" applyBorder="1" applyAlignment="1">
      <alignment horizontal="center" vertical="center"/>
    </xf>
    <xf numFmtId="0" fontId="1" fillId="4" borderId="4" xfId="0" applyFont="1" applyFill="1" applyBorder="1" applyAlignment="1">
      <alignment horizontal="center" vertical="center"/>
    </xf>
    <xf numFmtId="0" fontId="2" fillId="0" borderId="6" xfId="0" applyFont="1" applyBorder="1" applyAlignment="1">
      <alignment horizontal="left" vertical="center"/>
    </xf>
    <xf numFmtId="49" fontId="1" fillId="3" borderId="3" xfId="0" applyNumberFormat="1" applyFont="1" applyFill="1" applyBorder="1"/>
    <xf numFmtId="49" fontId="2" fillId="3" borderId="2" xfId="0" applyNumberFormat="1" applyFont="1" applyFill="1" applyBorder="1" applyAlignment="1">
      <alignment horizontal="center"/>
    </xf>
    <xf numFmtId="49" fontId="2" fillId="3" borderId="0" xfId="0" applyNumberFormat="1" applyFont="1" applyFill="1" applyBorder="1" applyAlignment="1">
      <alignment horizontal="center"/>
    </xf>
    <xf numFmtId="49" fontId="2" fillId="3" borderId="8" xfId="0" applyNumberFormat="1" applyFont="1" applyFill="1" applyBorder="1" applyAlignment="1">
      <alignment horizontal="center"/>
    </xf>
    <xf numFmtId="0" fontId="1" fillId="3" borderId="4" xfId="0" applyFont="1" applyFill="1" applyBorder="1" applyAlignment="1">
      <alignment horizontal="center" vertical="center"/>
    </xf>
    <xf numFmtId="0" fontId="2" fillId="3" borderId="3" xfId="0" applyFont="1" applyFill="1" applyBorder="1" applyAlignment="1">
      <alignment horizontal="center" vertical="center"/>
    </xf>
    <xf numFmtId="0" fontId="1" fillId="3" borderId="4" xfId="0" applyFont="1" applyFill="1" applyBorder="1" applyAlignment="1">
      <alignment horizontal="center"/>
    </xf>
    <xf numFmtId="9" fontId="1" fillId="3" borderId="9" xfId="1" applyFont="1" applyFill="1" applyBorder="1" applyAlignment="1">
      <alignment horizontal="center"/>
    </xf>
    <xf numFmtId="0" fontId="2" fillId="0" borderId="6" xfId="0" applyNumberFormat="1" applyFont="1" applyBorder="1" applyAlignment="1">
      <alignment horizontal="left" vertical="center"/>
    </xf>
    <xf numFmtId="14" fontId="1" fillId="0" borderId="2" xfId="0" applyNumberFormat="1" applyFont="1" applyFill="1" applyBorder="1" applyAlignment="1">
      <alignment vertical="center"/>
    </xf>
    <xf numFmtId="14" fontId="1" fillId="3" borderId="2" xfId="0" applyNumberFormat="1" applyFont="1" applyFill="1" applyBorder="1" applyAlignment="1">
      <alignment vertical="center"/>
    </xf>
    <xf numFmtId="49" fontId="2" fillId="5" borderId="2" xfId="0" applyNumberFormat="1" applyFont="1" applyFill="1" applyBorder="1" applyAlignment="1">
      <alignment horizontal="center" vertical="center"/>
    </xf>
    <xf numFmtId="0" fontId="1" fillId="3" borderId="2" xfId="0" applyFont="1" applyFill="1" applyBorder="1" applyAlignment="1">
      <alignment horizontal="center" vertical="center"/>
    </xf>
    <xf numFmtId="0" fontId="1" fillId="5" borderId="2" xfId="0" applyFont="1" applyFill="1" applyBorder="1" applyAlignment="1">
      <alignment horizontal="center" vertical="center"/>
    </xf>
    <xf numFmtId="0" fontId="1" fillId="3" borderId="2" xfId="0" applyFont="1" applyFill="1" applyBorder="1" applyAlignment="1">
      <alignment vertical="center"/>
    </xf>
    <xf numFmtId="14" fontId="1" fillId="3" borderId="1" xfId="0" applyNumberFormat="1" applyFont="1" applyFill="1" applyBorder="1" applyAlignment="1">
      <alignment vertical="center"/>
    </xf>
    <xf numFmtId="1" fontId="1" fillId="5" borderId="2" xfId="0" applyNumberFormat="1" applyFont="1" applyFill="1" applyBorder="1" applyAlignment="1">
      <alignment horizontal="center" vertical="center"/>
    </xf>
    <xf numFmtId="0" fontId="2" fillId="0" borderId="6" xfId="0" applyFont="1" applyBorder="1" applyAlignment="1">
      <alignment horizontal="center" vertical="center"/>
    </xf>
    <xf numFmtId="0" fontId="2" fillId="0" borderId="7" xfId="0" applyFont="1" applyBorder="1" applyAlignment="1">
      <alignment horizontal="center" vertical="center"/>
    </xf>
    <xf numFmtId="0" fontId="5" fillId="2" borderId="0"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2" xfId="0" applyFont="1" applyFill="1" applyBorder="1" applyAlignment="1">
      <alignment horizontal="center" vertical="center" wrapText="1"/>
    </xf>
    <xf numFmtId="0" fontId="1" fillId="3" borderId="1" xfId="0" applyFont="1" applyFill="1" applyBorder="1" applyAlignment="1">
      <alignment horizontal="center" vertical="center"/>
    </xf>
    <xf numFmtId="0" fontId="1" fillId="3" borderId="1" xfId="0" applyFont="1" applyFill="1" applyBorder="1" applyAlignment="1">
      <alignment horizontal="center" vertical="center" wrapText="1"/>
    </xf>
    <xf numFmtId="0" fontId="1" fillId="0" borderId="3" xfId="0" applyFont="1" applyBorder="1" applyAlignment="1">
      <alignment horizontal="center"/>
    </xf>
    <xf numFmtId="0" fontId="1" fillId="3" borderId="3" xfId="0" applyFont="1" applyFill="1" applyBorder="1" applyAlignment="1">
      <alignment horizontal="center"/>
    </xf>
    <xf numFmtId="0" fontId="3" fillId="2" borderId="1" xfId="0" applyFont="1" applyFill="1" applyBorder="1" applyAlignment="1">
      <alignment horizontal="center" vertical="center"/>
    </xf>
    <xf numFmtId="0" fontId="5" fillId="2" borderId="1" xfId="0" applyFont="1" applyFill="1" applyBorder="1" applyAlignment="1">
      <alignment horizontal="center" vertical="center"/>
    </xf>
  </cellXfs>
  <cellStyles count="2">
    <cellStyle name="Normal" xfId="0" builtinId="0"/>
    <cellStyle name="Porcentaje" xfId="1" builtinId="5"/>
  </cellStyles>
  <dxfs count="1">
    <dxf>
      <fill>
        <patternFill>
          <bgColor theme="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CO"/>
              <a:t>Diagrama de Gantt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CO"/>
        </a:p>
      </c:txPr>
    </c:title>
    <c:autoTitleDeleted val="0"/>
    <c:plotArea>
      <c:layout/>
      <c:barChart>
        <c:barDir val="bar"/>
        <c:grouping val="stacked"/>
        <c:varyColors val="0"/>
        <c:ser>
          <c:idx val="0"/>
          <c:order val="0"/>
          <c:spPr>
            <a:noFill/>
            <a:ln>
              <a:noFill/>
            </a:ln>
            <a:effectLst/>
          </c:spPr>
          <c:invertIfNegative val="0"/>
          <c:cat>
            <c:strRef>
              <c:f>'Diagrama de Gantt'!$L$7:$L$17</c:f>
              <c:strCache>
                <c:ptCount val="11"/>
                <c:pt idx="0">
                  <c:v>001</c:v>
                </c:pt>
                <c:pt idx="1">
                  <c:v>002</c:v>
                </c:pt>
                <c:pt idx="2">
                  <c:v>003</c:v>
                </c:pt>
                <c:pt idx="3">
                  <c:v>004</c:v>
                </c:pt>
                <c:pt idx="4">
                  <c:v>005</c:v>
                </c:pt>
                <c:pt idx="5">
                  <c:v>006</c:v>
                </c:pt>
                <c:pt idx="6">
                  <c:v>007</c:v>
                </c:pt>
                <c:pt idx="7">
                  <c:v>008</c:v>
                </c:pt>
                <c:pt idx="8">
                  <c:v>009</c:v>
                </c:pt>
                <c:pt idx="9">
                  <c:v>010</c:v>
                </c:pt>
                <c:pt idx="10">
                  <c:v>011</c:v>
                </c:pt>
              </c:strCache>
            </c:strRef>
          </c:cat>
          <c:val>
            <c:numRef>
              <c:f>'Diagrama de Gantt'!$E$7:$E$17</c:f>
              <c:numCache>
                <c:formatCode>m/d/yyyy</c:formatCode>
                <c:ptCount val="11"/>
                <c:pt idx="0">
                  <c:v>43836</c:v>
                </c:pt>
                <c:pt idx="1">
                  <c:v>43858</c:v>
                </c:pt>
                <c:pt idx="2">
                  <c:v>43858</c:v>
                </c:pt>
                <c:pt idx="3">
                  <c:v>43860</c:v>
                </c:pt>
                <c:pt idx="4">
                  <c:v>43895</c:v>
                </c:pt>
                <c:pt idx="5">
                  <c:v>43921</c:v>
                </c:pt>
                <c:pt idx="6">
                  <c:v>43875</c:v>
                </c:pt>
                <c:pt idx="7">
                  <c:v>43944</c:v>
                </c:pt>
                <c:pt idx="8">
                  <c:v>43965</c:v>
                </c:pt>
                <c:pt idx="9">
                  <c:v>43965</c:v>
                </c:pt>
                <c:pt idx="10">
                  <c:v>43858</c:v>
                </c:pt>
              </c:numCache>
            </c:numRef>
          </c:val>
          <c:extLst>
            <c:ext xmlns:c16="http://schemas.microsoft.com/office/drawing/2014/chart" uri="{C3380CC4-5D6E-409C-BE32-E72D297353CC}">
              <c16:uniqueId val="{00000002-0759-42FF-BE69-01C4E29614EE}"/>
            </c:ext>
          </c:extLst>
        </c:ser>
        <c:ser>
          <c:idx val="1"/>
          <c:order val="1"/>
          <c:spPr>
            <a:solidFill>
              <a:schemeClr val="bg1">
                <a:lumMod val="75000"/>
              </a:schemeClr>
            </a:solidFill>
            <a:ln>
              <a:noFill/>
            </a:ln>
            <a:effectLst>
              <a:outerShdw blurRad="50800" dist="38100" dir="2700000" algn="tl" rotWithShape="0">
                <a:prstClr val="black">
                  <a:alpha val="40000"/>
                </a:prstClr>
              </a:outerShdw>
              <a:softEdge rad="12700"/>
            </a:effectLst>
            <a:scene3d>
              <a:camera prst="orthographicFront"/>
              <a:lightRig rig="threePt" dir="t"/>
            </a:scene3d>
            <a:sp3d/>
          </c:spPr>
          <c:invertIfNegative val="0"/>
          <c:cat>
            <c:strRef>
              <c:f>'Diagrama de Gantt'!$L$7:$L$17</c:f>
              <c:strCache>
                <c:ptCount val="11"/>
                <c:pt idx="0">
                  <c:v>001</c:v>
                </c:pt>
                <c:pt idx="1">
                  <c:v>002</c:v>
                </c:pt>
                <c:pt idx="2">
                  <c:v>003</c:v>
                </c:pt>
                <c:pt idx="3">
                  <c:v>004</c:v>
                </c:pt>
                <c:pt idx="4">
                  <c:v>005</c:v>
                </c:pt>
                <c:pt idx="5">
                  <c:v>006</c:v>
                </c:pt>
                <c:pt idx="6">
                  <c:v>007</c:v>
                </c:pt>
                <c:pt idx="7">
                  <c:v>008</c:v>
                </c:pt>
                <c:pt idx="8">
                  <c:v>009</c:v>
                </c:pt>
                <c:pt idx="9">
                  <c:v>010</c:v>
                </c:pt>
                <c:pt idx="10">
                  <c:v>011</c:v>
                </c:pt>
              </c:strCache>
            </c:strRef>
          </c:cat>
          <c:val>
            <c:numRef>
              <c:f>'Diagrama de Gantt'!$G$7:$G$17</c:f>
              <c:numCache>
                <c:formatCode>0</c:formatCode>
                <c:ptCount val="11"/>
                <c:pt idx="0">
                  <c:v>39</c:v>
                </c:pt>
                <c:pt idx="1">
                  <c:v>21</c:v>
                </c:pt>
                <c:pt idx="2">
                  <c:v>21</c:v>
                </c:pt>
                <c:pt idx="3">
                  <c:v>35</c:v>
                </c:pt>
                <c:pt idx="4">
                  <c:v>26</c:v>
                </c:pt>
                <c:pt idx="5">
                  <c:v>23</c:v>
                </c:pt>
                <c:pt idx="6">
                  <c:v>69</c:v>
                </c:pt>
                <c:pt idx="7">
                  <c:v>21</c:v>
                </c:pt>
                <c:pt idx="8">
                  <c:v>7</c:v>
                </c:pt>
                <c:pt idx="9">
                  <c:v>7</c:v>
                </c:pt>
                <c:pt idx="10">
                  <c:v>12</c:v>
                </c:pt>
              </c:numCache>
            </c:numRef>
          </c:val>
          <c:extLst>
            <c:ext xmlns:c16="http://schemas.microsoft.com/office/drawing/2014/chart" uri="{C3380CC4-5D6E-409C-BE32-E72D297353CC}">
              <c16:uniqueId val="{00000003-0759-42FF-BE69-01C4E29614EE}"/>
            </c:ext>
          </c:extLst>
        </c:ser>
        <c:dLbls>
          <c:showLegendKey val="0"/>
          <c:showVal val="0"/>
          <c:showCatName val="0"/>
          <c:showSerName val="0"/>
          <c:showPercent val="0"/>
          <c:showBubbleSize val="0"/>
        </c:dLbls>
        <c:gapWidth val="150"/>
        <c:overlap val="100"/>
        <c:axId val="294433328"/>
        <c:axId val="294434312"/>
      </c:barChart>
      <c:catAx>
        <c:axId val="294433328"/>
        <c:scaling>
          <c:orientation val="maxMin"/>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crossAx val="294434312"/>
        <c:crosses val="autoZero"/>
        <c:auto val="1"/>
        <c:lblAlgn val="ctr"/>
        <c:lblOffset val="100"/>
        <c:noMultiLvlLbl val="0"/>
      </c:catAx>
      <c:valAx>
        <c:axId val="294434312"/>
        <c:scaling>
          <c:orientation val="minMax"/>
          <c:max val="43972"/>
          <c:min val="43836"/>
        </c:scaling>
        <c:delete val="0"/>
        <c:axPos val="t"/>
        <c:majorGridlines>
          <c:spPr>
            <a:ln w="9525" cap="flat" cmpd="sng" algn="ctr">
              <a:solidFill>
                <a:schemeClr val="bg1">
                  <a:alpha val="10000"/>
                </a:schemeClr>
              </a:solidFill>
              <a:round/>
            </a:ln>
            <a:effectLst/>
          </c:spPr>
        </c:majorGridlines>
        <c:minorGridlines>
          <c:spPr>
            <a:ln>
              <a:solidFill>
                <a:schemeClr val="lt1">
                  <a:lumMod val="95000"/>
                  <a:alpha val="5000"/>
                </a:schemeClr>
              </a:solidFill>
            </a:ln>
            <a:effectLst/>
          </c:spPr>
        </c:minorGridlines>
        <c:numFmt formatCode="m/d/yyyy"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crossAx val="294433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33336</xdr:colOff>
      <xdr:row>18</xdr:row>
      <xdr:rowOff>171450</xdr:rowOff>
    </xdr:from>
    <xdr:to>
      <xdr:col>11</xdr:col>
      <xdr:colOff>419099</xdr:colOff>
      <xdr:row>34</xdr:row>
      <xdr:rowOff>57150</xdr:rowOff>
    </xdr:to>
    <xdr:graphicFrame macro="">
      <xdr:nvGraphicFramePr>
        <xdr:cNvPr id="3" name="Gráfico 2">
          <a:extLst>
            <a:ext uri="{FF2B5EF4-FFF2-40B4-BE49-F238E27FC236}">
              <a16:creationId xmlns:a16="http://schemas.microsoft.com/office/drawing/2014/main" id="{40A5E624-3255-498B-BDBB-77E72E2398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5B5A7-675F-4717-9B6F-CDD59B9953A8}">
  <sheetPr codeName="Hoja1"/>
  <dimension ref="B2:AA17"/>
  <sheetViews>
    <sheetView topLeftCell="L1" workbookViewId="0">
      <selection activeCell="M18" sqref="M18"/>
    </sheetView>
  </sheetViews>
  <sheetFormatPr baseColWidth="10" defaultRowHeight="14.25" x14ac:dyDescent="0.2"/>
  <cols>
    <col min="1" max="1" width="10" style="1" customWidth="1"/>
    <col min="2" max="2" width="13.140625" style="1" customWidth="1"/>
    <col min="3" max="3" width="15" style="1" customWidth="1"/>
    <col min="4" max="4" width="16.7109375" style="1" customWidth="1"/>
    <col min="5" max="5" width="11.42578125" style="1"/>
    <col min="6" max="7" width="14.140625" style="1" customWidth="1"/>
    <col min="8" max="8" width="11.42578125" style="1"/>
    <col min="9" max="9" width="14.28515625" style="1" bestFit="1" customWidth="1"/>
    <col min="10" max="11" width="11.42578125" style="1"/>
    <col min="12" max="12" width="10.42578125" style="1" customWidth="1"/>
    <col min="13" max="13" width="19.42578125" style="1" customWidth="1"/>
    <col min="14" max="14" width="28" style="1" customWidth="1"/>
    <col min="15" max="18" width="11.42578125" style="1"/>
    <col min="19" max="19" width="36.140625" style="1" customWidth="1"/>
    <col min="20" max="16384" width="11.42578125" style="1"/>
  </cols>
  <sheetData>
    <row r="2" spans="2:27" x14ac:dyDescent="0.2">
      <c r="B2" s="35" t="s">
        <v>0</v>
      </c>
      <c r="C2" s="35"/>
      <c r="D2" s="35"/>
      <c r="E2" s="35"/>
      <c r="F2" s="35"/>
      <c r="G2" s="35"/>
      <c r="H2" s="35"/>
      <c r="I2" s="35"/>
      <c r="J2" s="35"/>
      <c r="K2" s="35"/>
      <c r="L2" s="35"/>
      <c r="M2" s="35"/>
      <c r="N2" s="35"/>
      <c r="O2" s="35"/>
      <c r="R2" s="35" t="s">
        <v>32</v>
      </c>
      <c r="S2" s="35"/>
      <c r="T2" s="5"/>
      <c r="U2" s="5"/>
      <c r="V2" s="5"/>
      <c r="W2" s="5"/>
      <c r="X2" s="5"/>
      <c r="Y2" s="5"/>
      <c r="Z2" s="5"/>
      <c r="AA2" s="5"/>
    </row>
    <row r="3" spans="2:27" x14ac:dyDescent="0.2">
      <c r="B3" s="35"/>
      <c r="C3" s="35"/>
      <c r="D3" s="35"/>
      <c r="E3" s="35"/>
      <c r="F3" s="35"/>
      <c r="G3" s="35"/>
      <c r="H3" s="35"/>
      <c r="I3" s="35"/>
      <c r="J3" s="35"/>
      <c r="K3" s="35"/>
      <c r="L3" s="35"/>
      <c r="M3" s="35"/>
      <c r="N3" s="35"/>
      <c r="O3" s="35"/>
      <c r="R3" s="35"/>
      <c r="S3" s="35"/>
      <c r="T3" s="5"/>
      <c r="U3" s="5"/>
      <c r="V3" s="5"/>
      <c r="W3" s="5"/>
      <c r="X3" s="5"/>
      <c r="Y3" s="5"/>
      <c r="Z3" s="5"/>
      <c r="AA3" s="5"/>
    </row>
    <row r="4" spans="2:27" ht="15" thickBot="1" x14ac:dyDescent="0.25">
      <c r="B4" s="40" t="s">
        <v>1</v>
      </c>
      <c r="C4" s="40"/>
      <c r="D4" s="41" t="s">
        <v>2</v>
      </c>
      <c r="E4" s="41"/>
      <c r="F4" s="41"/>
      <c r="G4" s="41"/>
      <c r="H4" s="41"/>
      <c r="I4" s="6" t="s">
        <v>3</v>
      </c>
      <c r="J4" s="7">
        <v>43836</v>
      </c>
      <c r="K4" s="6" t="s">
        <v>35</v>
      </c>
      <c r="L4" s="16">
        <v>8946556</v>
      </c>
      <c r="M4" s="9" t="s">
        <v>20</v>
      </c>
      <c r="N4" s="8" t="s">
        <v>37</v>
      </c>
      <c r="O4" s="6" t="s">
        <v>31</v>
      </c>
      <c r="P4" s="4"/>
      <c r="Q4" s="4"/>
      <c r="R4" s="13" t="s">
        <v>35</v>
      </c>
      <c r="S4" s="14" t="s">
        <v>33</v>
      </c>
    </row>
    <row r="5" spans="2:27" x14ac:dyDescent="0.2">
      <c r="P5" s="4"/>
      <c r="Q5" s="4"/>
      <c r="R5" s="10">
        <v>8943556</v>
      </c>
      <c r="S5" s="33" t="s">
        <v>34</v>
      </c>
    </row>
    <row r="6" spans="2:27" x14ac:dyDescent="0.2">
      <c r="B6" s="42" t="s">
        <v>8</v>
      </c>
      <c r="C6" s="42"/>
      <c r="D6" s="42"/>
      <c r="E6" s="2" t="s">
        <v>4</v>
      </c>
      <c r="F6" s="2" t="s">
        <v>5</v>
      </c>
      <c r="G6" s="2" t="s">
        <v>45</v>
      </c>
      <c r="H6" s="42" t="s">
        <v>6</v>
      </c>
      <c r="I6" s="42"/>
      <c r="J6" s="42"/>
      <c r="K6" s="42"/>
      <c r="L6" s="2" t="s">
        <v>35</v>
      </c>
      <c r="M6" s="2" t="s">
        <v>36</v>
      </c>
      <c r="N6" s="3" t="s">
        <v>7</v>
      </c>
      <c r="O6" s="2" t="s">
        <v>10</v>
      </c>
      <c r="P6" s="5"/>
      <c r="Q6" s="5"/>
      <c r="R6" s="11">
        <v>8939024</v>
      </c>
      <c r="S6" s="34" t="s">
        <v>57</v>
      </c>
    </row>
    <row r="7" spans="2:27" ht="34.5" customHeight="1" x14ac:dyDescent="0.2">
      <c r="B7" s="36" t="s">
        <v>9</v>
      </c>
      <c r="C7" s="36"/>
      <c r="D7" s="36"/>
      <c r="E7" s="25">
        <v>43836</v>
      </c>
      <c r="F7" s="26">
        <v>43875</v>
      </c>
      <c r="G7" s="32">
        <f>F7-E7</f>
        <v>39</v>
      </c>
      <c r="H7" s="37" t="s">
        <v>53</v>
      </c>
      <c r="I7" s="37"/>
      <c r="J7" s="37"/>
      <c r="K7" s="37"/>
      <c r="L7" s="27" t="s">
        <v>21</v>
      </c>
      <c r="M7" s="28">
        <v>8943556</v>
      </c>
      <c r="N7" s="29" t="str">
        <f>IFERROR(VLOOKUP(M7,$R$5:$S$8,2,),"")</f>
        <v>Juan Sebastián Reyes Leyton</v>
      </c>
      <c r="O7" s="30" t="str">
        <f ca="1">IF(Estatus!C5 = "Done", "Finalizado", "En proceso")</f>
        <v>Finalizado</v>
      </c>
      <c r="P7" s="4"/>
      <c r="Q7" s="4"/>
      <c r="R7" s="12">
        <v>8939317</v>
      </c>
      <c r="S7" s="34" t="s">
        <v>59</v>
      </c>
    </row>
    <row r="8" spans="2:27" ht="40.5" customHeight="1" x14ac:dyDescent="0.2">
      <c r="B8" s="38" t="s">
        <v>11</v>
      </c>
      <c r="C8" s="38"/>
      <c r="D8" s="38"/>
      <c r="E8" s="25">
        <v>43858</v>
      </c>
      <c r="F8" s="31">
        <v>43879</v>
      </c>
      <c r="G8" s="32">
        <f t="shared" ref="G8:G17" si="0">F8-E8</f>
        <v>21</v>
      </c>
      <c r="H8" s="39" t="s">
        <v>54</v>
      </c>
      <c r="I8" s="39"/>
      <c r="J8" s="39"/>
      <c r="K8" s="39"/>
      <c r="L8" s="27" t="s">
        <v>22</v>
      </c>
      <c r="M8" s="28">
        <v>8939317</v>
      </c>
      <c r="N8" s="29" t="str">
        <f t="shared" ref="N8:N17" si="1">IFERROR(VLOOKUP(M8,$R$5:$S$8,2,),"")</f>
        <v>Francisco Suárez Ramírez</v>
      </c>
      <c r="O8" s="30" t="str">
        <f ca="1">IF(Estatus!C6 = "Done", "Finalizado", "En proceso")</f>
        <v>En proceso</v>
      </c>
      <c r="R8" s="12">
        <v>9999999</v>
      </c>
      <c r="S8" s="34" t="s">
        <v>58</v>
      </c>
    </row>
    <row r="9" spans="2:27" ht="192" customHeight="1" x14ac:dyDescent="0.2">
      <c r="B9" s="36" t="s">
        <v>12</v>
      </c>
      <c r="C9" s="36"/>
      <c r="D9" s="36"/>
      <c r="E9" s="25">
        <v>43858</v>
      </c>
      <c r="F9" s="31">
        <v>43879</v>
      </c>
      <c r="G9" s="32">
        <f t="shared" si="0"/>
        <v>21</v>
      </c>
      <c r="H9" s="37" t="s">
        <v>55</v>
      </c>
      <c r="I9" s="37"/>
      <c r="J9" s="37"/>
      <c r="K9" s="37"/>
      <c r="L9" s="27" t="s">
        <v>23</v>
      </c>
      <c r="M9" s="28">
        <v>8939024</v>
      </c>
      <c r="N9" s="29" t="str">
        <f t="shared" si="1"/>
        <v>Juan David Gomez Quiñonez</v>
      </c>
      <c r="O9" s="30" t="str">
        <f ca="1">IF(Estatus!C7 = "Done", "Finalizado", "En proceso")</f>
        <v>En proceso</v>
      </c>
    </row>
    <row r="10" spans="2:27" ht="57.75" customHeight="1" x14ac:dyDescent="0.2">
      <c r="B10" s="36" t="s">
        <v>13</v>
      </c>
      <c r="C10" s="36"/>
      <c r="D10" s="36"/>
      <c r="E10" s="25">
        <v>43860</v>
      </c>
      <c r="F10" s="26">
        <v>43895</v>
      </c>
      <c r="G10" s="32">
        <f t="shared" si="0"/>
        <v>35</v>
      </c>
      <c r="H10" s="37" t="s">
        <v>46</v>
      </c>
      <c r="I10" s="37"/>
      <c r="J10" s="37"/>
      <c r="K10" s="37"/>
      <c r="L10" s="27" t="s">
        <v>24</v>
      </c>
      <c r="M10" s="28">
        <v>8943556</v>
      </c>
      <c r="N10" s="29" t="str">
        <f t="shared" si="1"/>
        <v>Juan Sebastián Reyes Leyton</v>
      </c>
      <c r="O10" s="30" t="str">
        <f ca="1">IF(Estatus!C8 = "Done", "Finalizado", "En proceso")</f>
        <v>En proceso</v>
      </c>
    </row>
    <row r="11" spans="2:27" ht="153.75" customHeight="1" x14ac:dyDescent="0.2">
      <c r="B11" s="36" t="s">
        <v>14</v>
      </c>
      <c r="C11" s="36"/>
      <c r="D11" s="36"/>
      <c r="E11" s="25">
        <v>43895</v>
      </c>
      <c r="F11" s="26">
        <v>43921</v>
      </c>
      <c r="G11" s="32">
        <f t="shared" si="0"/>
        <v>26</v>
      </c>
      <c r="H11" s="37" t="s">
        <v>47</v>
      </c>
      <c r="I11" s="37"/>
      <c r="J11" s="37"/>
      <c r="K11" s="37"/>
      <c r="L11" s="27" t="s">
        <v>25</v>
      </c>
      <c r="M11" s="28">
        <v>8939024</v>
      </c>
      <c r="N11" s="29" t="str">
        <f t="shared" si="1"/>
        <v>Juan David Gomez Quiñonez</v>
      </c>
      <c r="O11" s="30" t="str">
        <f ca="1">IF(Estatus!C9 = "Done", "Finalizado", "En proceso")</f>
        <v>En proceso</v>
      </c>
    </row>
    <row r="12" spans="2:27" ht="121.5" customHeight="1" x14ac:dyDescent="0.2">
      <c r="B12" s="36" t="s">
        <v>15</v>
      </c>
      <c r="C12" s="36"/>
      <c r="D12" s="36"/>
      <c r="E12" s="25">
        <v>43921</v>
      </c>
      <c r="F12" s="26">
        <v>43944</v>
      </c>
      <c r="G12" s="32">
        <f t="shared" si="0"/>
        <v>23</v>
      </c>
      <c r="H12" s="37" t="s">
        <v>48</v>
      </c>
      <c r="I12" s="37"/>
      <c r="J12" s="37"/>
      <c r="K12" s="37"/>
      <c r="L12" s="27" t="s">
        <v>26</v>
      </c>
      <c r="M12" s="28">
        <v>8943556</v>
      </c>
      <c r="N12" s="29" t="str">
        <f t="shared" si="1"/>
        <v>Juan Sebastián Reyes Leyton</v>
      </c>
      <c r="O12" s="30" t="str">
        <f ca="1">IF(Estatus!C10 = "Done", "Finalizado", "En proceso")</f>
        <v>En proceso</v>
      </c>
    </row>
    <row r="13" spans="2:27" ht="113.25" customHeight="1" x14ac:dyDescent="0.2">
      <c r="B13" s="36" t="s">
        <v>16</v>
      </c>
      <c r="C13" s="36"/>
      <c r="D13" s="36"/>
      <c r="E13" s="25">
        <v>43875</v>
      </c>
      <c r="F13" s="26">
        <v>43944</v>
      </c>
      <c r="G13" s="32">
        <f t="shared" si="0"/>
        <v>69</v>
      </c>
      <c r="H13" s="37" t="s">
        <v>50</v>
      </c>
      <c r="I13" s="37"/>
      <c r="J13" s="37"/>
      <c r="K13" s="37"/>
      <c r="L13" s="27" t="s">
        <v>27</v>
      </c>
      <c r="M13" s="28">
        <v>9999999</v>
      </c>
      <c r="N13" s="29" t="str">
        <f t="shared" si="1"/>
        <v>Todos</v>
      </c>
      <c r="O13" s="30" t="str">
        <f ca="1">IF(Estatus!C11 = "Done", "Finalizado", "En proceso")</f>
        <v>En proceso</v>
      </c>
    </row>
    <row r="14" spans="2:27" ht="100.5" customHeight="1" x14ac:dyDescent="0.2">
      <c r="B14" s="36" t="s">
        <v>17</v>
      </c>
      <c r="C14" s="36"/>
      <c r="D14" s="36"/>
      <c r="E14" s="25">
        <v>43944</v>
      </c>
      <c r="F14" s="26">
        <v>43965</v>
      </c>
      <c r="G14" s="32">
        <f t="shared" si="0"/>
        <v>21</v>
      </c>
      <c r="H14" s="37" t="s">
        <v>49</v>
      </c>
      <c r="I14" s="37"/>
      <c r="J14" s="37"/>
      <c r="K14" s="37"/>
      <c r="L14" s="27" t="s">
        <v>28</v>
      </c>
      <c r="M14" s="28">
        <v>8939317</v>
      </c>
      <c r="N14" s="29" t="str">
        <f t="shared" si="1"/>
        <v>Francisco Suárez Ramírez</v>
      </c>
      <c r="O14" s="30" t="str">
        <f ca="1">IF(Estatus!C12 = "Done", "Finalizado", "En proceso")</f>
        <v>En proceso</v>
      </c>
    </row>
    <row r="15" spans="2:27" ht="45.75" customHeight="1" x14ac:dyDescent="0.2">
      <c r="B15" s="36" t="s">
        <v>18</v>
      </c>
      <c r="C15" s="36"/>
      <c r="D15" s="36"/>
      <c r="E15" s="25">
        <v>43965</v>
      </c>
      <c r="F15" s="26">
        <v>43972</v>
      </c>
      <c r="G15" s="32">
        <f t="shared" si="0"/>
        <v>7</v>
      </c>
      <c r="H15" s="37" t="s">
        <v>51</v>
      </c>
      <c r="I15" s="37"/>
      <c r="J15" s="37"/>
      <c r="K15" s="37"/>
      <c r="L15" s="27" t="s">
        <v>29</v>
      </c>
      <c r="M15" s="28">
        <v>8939317</v>
      </c>
      <c r="N15" s="29" t="str">
        <f t="shared" si="1"/>
        <v>Francisco Suárez Ramírez</v>
      </c>
      <c r="O15" s="30" t="str">
        <f ca="1">IF(Estatus!C13 = "Done", "Finalizado", "En proceso")</f>
        <v>En proceso</v>
      </c>
    </row>
    <row r="16" spans="2:27" ht="17.25" customHeight="1" x14ac:dyDescent="0.2">
      <c r="B16" s="36" t="s">
        <v>19</v>
      </c>
      <c r="C16" s="36"/>
      <c r="D16" s="36"/>
      <c r="E16" s="25">
        <v>43965</v>
      </c>
      <c r="F16" s="26">
        <v>43972</v>
      </c>
      <c r="G16" s="32">
        <f t="shared" si="0"/>
        <v>7</v>
      </c>
      <c r="H16" s="37" t="s">
        <v>52</v>
      </c>
      <c r="I16" s="37"/>
      <c r="J16" s="37"/>
      <c r="K16" s="37"/>
      <c r="L16" s="27" t="s">
        <v>30</v>
      </c>
      <c r="M16" s="28">
        <v>8939024</v>
      </c>
      <c r="N16" s="29" t="str">
        <f t="shared" si="1"/>
        <v>Juan David Gomez Quiñonez</v>
      </c>
      <c r="O16" s="30" t="str">
        <f ca="1">IF(Estatus!C14 = "Done", "Finalizado", "En proceso")</f>
        <v>En proceso</v>
      </c>
    </row>
    <row r="17" spans="2:15" ht="163.5" customHeight="1" x14ac:dyDescent="0.2">
      <c r="B17" s="36" t="s">
        <v>40</v>
      </c>
      <c r="C17" s="36"/>
      <c r="D17" s="36"/>
      <c r="E17" s="25">
        <v>43858</v>
      </c>
      <c r="F17" s="26">
        <v>43870</v>
      </c>
      <c r="G17" s="32">
        <f t="shared" si="0"/>
        <v>12</v>
      </c>
      <c r="H17" s="37" t="s">
        <v>56</v>
      </c>
      <c r="I17" s="37"/>
      <c r="J17" s="37"/>
      <c r="K17" s="37"/>
      <c r="L17" s="27" t="s">
        <v>39</v>
      </c>
      <c r="M17" s="28">
        <v>9999999</v>
      </c>
      <c r="N17" s="29" t="str">
        <f t="shared" si="1"/>
        <v>Todos</v>
      </c>
      <c r="O17" s="30" t="str">
        <f ca="1">IF(Estatus!C15 = "Done", "Finalizado", "En proceso")</f>
        <v>Finalizado</v>
      </c>
    </row>
  </sheetData>
  <sheetProtection algorithmName="SHA-512" hashValue="SdvM3jDkiIhFvis+9fJKgr0FBr2XJrJ7EGohILFx3NejXPTehXKh43A1bLQCDOyCCQjkf6m5og8mIym25Kty6A==" saltValue="B16mwGXkZj95wjk8MhBA6g==" spinCount="100000" sheet="1" objects="1" scenarios="1"/>
  <autoFilter ref="B6:O17" xr:uid="{829ED410-8FB2-44B7-92FD-3D03B7E05D9B}">
    <filterColumn colId="0" showButton="0"/>
    <filterColumn colId="1" showButton="0"/>
    <filterColumn colId="6" showButton="0"/>
    <filterColumn colId="7" showButton="0"/>
    <filterColumn colId="8" showButton="0"/>
  </autoFilter>
  <mergeCells count="28">
    <mergeCell ref="B6:D6"/>
    <mergeCell ref="H6:K6"/>
    <mergeCell ref="B17:D17"/>
    <mergeCell ref="H17:K17"/>
    <mergeCell ref="B16:D16"/>
    <mergeCell ref="H16:K16"/>
    <mergeCell ref="B11:D11"/>
    <mergeCell ref="H11:K11"/>
    <mergeCell ref="B12:D12"/>
    <mergeCell ref="H12:K12"/>
    <mergeCell ref="B13:D13"/>
    <mergeCell ref="H13:K13"/>
    <mergeCell ref="B2:O3"/>
    <mergeCell ref="R2:S3"/>
    <mergeCell ref="B14:D14"/>
    <mergeCell ref="H14:K14"/>
    <mergeCell ref="B15:D15"/>
    <mergeCell ref="H15:K15"/>
    <mergeCell ref="B7:D7"/>
    <mergeCell ref="B8:D8"/>
    <mergeCell ref="B9:D9"/>
    <mergeCell ref="B10:D10"/>
    <mergeCell ref="H7:K7"/>
    <mergeCell ref="H8:K8"/>
    <mergeCell ref="H9:K9"/>
    <mergeCell ref="H10:K10"/>
    <mergeCell ref="B4:C4"/>
    <mergeCell ref="D4:H4"/>
  </mergeCells>
  <phoneticPr fontId="4" type="noConversion"/>
  <conditionalFormatting sqref="O8:O17">
    <cfRule type="cellIs" dxfId="0" priority="1" operator="equal">
      <formula>"""Finalizado"""</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4D0721-2571-4FA3-BFA7-A7FCAC25F854}">
  <dimension ref="B2:E15"/>
  <sheetViews>
    <sheetView tabSelected="1" workbookViewId="0">
      <selection activeCell="F7" sqref="F7"/>
    </sheetView>
  </sheetViews>
  <sheetFormatPr baseColWidth="10" defaultRowHeight="15" x14ac:dyDescent="0.25"/>
  <cols>
    <col min="2" max="2" width="7.5703125" bestFit="1" customWidth="1"/>
    <col min="3" max="3" width="25.85546875" customWidth="1"/>
  </cols>
  <sheetData>
    <row r="2" spans="2:5" ht="15" customHeight="1" x14ac:dyDescent="0.25">
      <c r="B2" s="35" t="s">
        <v>38</v>
      </c>
      <c r="C2" s="35"/>
      <c r="D2" s="35"/>
      <c r="E2" s="35"/>
    </row>
    <row r="3" spans="2:5" ht="15" customHeight="1" x14ac:dyDescent="0.25">
      <c r="B3" s="43"/>
      <c r="C3" s="43"/>
      <c r="D3" s="43"/>
      <c r="E3" s="43"/>
    </row>
    <row r="4" spans="2:5" ht="15.75" thickBot="1" x14ac:dyDescent="0.3">
      <c r="B4" s="21" t="s">
        <v>44</v>
      </c>
      <c r="C4" s="20" t="s">
        <v>41</v>
      </c>
      <c r="D4" s="22" t="s">
        <v>42</v>
      </c>
      <c r="E4" s="20" t="s">
        <v>43</v>
      </c>
    </row>
    <row r="5" spans="2:5" ht="15.75" thickBot="1" x14ac:dyDescent="0.3">
      <c r="B5" s="17" t="s">
        <v>21</v>
      </c>
      <c r="C5" s="15" t="str">
        <f ca="1">IF(E5= 0,"Done", IF(E5 &lt;= 10,"Urgent", IF(E5 &lt;= 20, "High", IF(E5 &lt;=40, "Medium", IF(E5 &lt;= 70, "Low", "Queu")))))</f>
        <v>Done</v>
      </c>
      <c r="D5" s="23">
        <f ca="1" xml:space="preserve"> 1 - (E5/('Diagrama de Gantt'!$F$16 - 'Diagrama de Gantt'!$E$7))</f>
        <v>1</v>
      </c>
      <c r="E5" s="24">
        <f ca="1">IF('Diagrama de Gantt'!F7 - TODAY()&gt;= 0, 'Diagrama de Gantt'!F7 - TODAY(), 0)</f>
        <v>0</v>
      </c>
    </row>
    <row r="6" spans="2:5" ht="15.75" thickBot="1" x14ac:dyDescent="0.3">
      <c r="B6" s="17" t="s">
        <v>22</v>
      </c>
      <c r="C6" s="15" t="str">
        <f t="shared" ref="C6:C15" ca="1" si="0">IF(E6= 0,"Done", IF(E6 &lt;= 10,"Urgent", IF(E6 &lt;= 20, "High", IF(E6 &lt;=40, "Medium", IF(E6 &lt;= 70, "Low", "Queu")))))</f>
        <v>Urgent</v>
      </c>
      <c r="D6" s="23">
        <f ca="1" xml:space="preserve"> 1 - (E6/('Diagrama de Gantt'!$F$16 - 'Diagrama de Gantt'!$E$7))</f>
        <v>0.9779411764705882</v>
      </c>
      <c r="E6" s="24">
        <f ca="1">IF('Diagrama de Gantt'!F8 - TODAY()&gt;= 0, 'Diagrama de Gantt'!F8 - TODAY(), 0)</f>
        <v>3</v>
      </c>
    </row>
    <row r="7" spans="2:5" ht="15.75" thickBot="1" x14ac:dyDescent="0.3">
      <c r="B7" s="17" t="s">
        <v>23</v>
      </c>
      <c r="C7" s="15" t="str">
        <f t="shared" ca="1" si="0"/>
        <v>Urgent</v>
      </c>
      <c r="D7" s="23">
        <f ca="1" xml:space="preserve"> 1 - (E7/('Diagrama de Gantt'!$F$16 - 'Diagrama de Gantt'!$E$7))</f>
        <v>0.9779411764705882</v>
      </c>
      <c r="E7" s="24">
        <f ca="1">IF('Diagrama de Gantt'!F9 - TODAY()&gt;= 0, 'Diagrama de Gantt'!F9 - TODAY(), 0)</f>
        <v>3</v>
      </c>
    </row>
    <row r="8" spans="2:5" ht="15.75" thickBot="1" x14ac:dyDescent="0.3">
      <c r="B8" s="17" t="s">
        <v>24</v>
      </c>
      <c r="C8" s="15" t="str">
        <f t="shared" ca="1" si="0"/>
        <v>High</v>
      </c>
      <c r="D8" s="23">
        <f ca="1" xml:space="preserve"> 1 - (E8/('Diagrama de Gantt'!$F$16 - 'Diagrama de Gantt'!$E$7))</f>
        <v>0.86029411764705888</v>
      </c>
      <c r="E8" s="24">
        <f ca="1">IF('Diagrama de Gantt'!F10 - TODAY()&gt;= 0, 'Diagrama de Gantt'!F10 - TODAY(), 0)</f>
        <v>19</v>
      </c>
    </row>
    <row r="9" spans="2:5" ht="15.75" thickBot="1" x14ac:dyDescent="0.3">
      <c r="B9" s="17" t="s">
        <v>25</v>
      </c>
      <c r="C9" s="15" t="str">
        <f t="shared" ca="1" si="0"/>
        <v>Low</v>
      </c>
      <c r="D9" s="23">
        <f ca="1" xml:space="preserve"> 1 - (E9/('Diagrama de Gantt'!$F$16 - 'Diagrama de Gantt'!$E$7))</f>
        <v>0.66911764705882359</v>
      </c>
      <c r="E9" s="24">
        <f ca="1">IF('Diagrama de Gantt'!F11 - TODAY()&gt;= 0, 'Diagrama de Gantt'!F11 - TODAY(), 0)</f>
        <v>45</v>
      </c>
    </row>
    <row r="10" spans="2:5" ht="15.75" thickBot="1" x14ac:dyDescent="0.3">
      <c r="B10" s="17" t="s">
        <v>26</v>
      </c>
      <c r="C10" s="15" t="str">
        <f t="shared" ca="1" si="0"/>
        <v>Low</v>
      </c>
      <c r="D10" s="23">
        <f ca="1" xml:space="preserve"> 1 - (E10/('Diagrama de Gantt'!$F$16 - 'Diagrama de Gantt'!$E$7))</f>
        <v>0.5</v>
      </c>
      <c r="E10" s="24">
        <f ca="1">IF('Diagrama de Gantt'!F12 - TODAY()&gt;= 0, 'Diagrama de Gantt'!F12 - TODAY(), 0)</f>
        <v>68</v>
      </c>
    </row>
    <row r="11" spans="2:5" ht="15.75" thickBot="1" x14ac:dyDescent="0.3">
      <c r="B11" s="17" t="s">
        <v>27</v>
      </c>
      <c r="C11" s="15" t="str">
        <f t="shared" ca="1" si="0"/>
        <v>Low</v>
      </c>
      <c r="D11" s="23">
        <f ca="1" xml:space="preserve"> 1 - (E11/('Diagrama de Gantt'!$F$16 - 'Diagrama de Gantt'!$E$7))</f>
        <v>0.5</v>
      </c>
      <c r="E11" s="24">
        <f ca="1">IF('Diagrama de Gantt'!F13 - TODAY()&gt;= 0, 'Diagrama de Gantt'!F13 - TODAY(), 0)</f>
        <v>68</v>
      </c>
    </row>
    <row r="12" spans="2:5" ht="15.75" thickBot="1" x14ac:dyDescent="0.3">
      <c r="B12" s="17" t="s">
        <v>28</v>
      </c>
      <c r="C12" s="15" t="str">
        <f t="shared" ca="1" si="0"/>
        <v>Queu</v>
      </c>
      <c r="D12" s="23">
        <f ca="1" xml:space="preserve"> 1 - (E12/('Diagrama de Gantt'!$F$16 - 'Diagrama de Gantt'!$E$7))</f>
        <v>0.34558823529411764</v>
      </c>
      <c r="E12" s="24">
        <f ca="1">IF('Diagrama de Gantt'!F14 - TODAY()&gt;= 0, 'Diagrama de Gantt'!F14 - TODAY(), 0)</f>
        <v>89</v>
      </c>
    </row>
    <row r="13" spans="2:5" ht="15.75" thickBot="1" x14ac:dyDescent="0.3">
      <c r="B13" s="19" t="s">
        <v>29</v>
      </c>
      <c r="C13" s="15" t="str">
        <f t="shared" ca="1" si="0"/>
        <v>Queu</v>
      </c>
      <c r="D13" s="23">
        <f ca="1" xml:space="preserve"> 1 - (E13/('Diagrama de Gantt'!$F$16 - 'Diagrama de Gantt'!$E$7))</f>
        <v>0.29411764705882348</v>
      </c>
      <c r="E13" s="24">
        <f ca="1">IF('Diagrama de Gantt'!F15 - TODAY()&gt;= 0, 'Diagrama de Gantt'!F15 - TODAY(), 0)</f>
        <v>96</v>
      </c>
    </row>
    <row r="14" spans="2:5" ht="15.75" thickBot="1" x14ac:dyDescent="0.3">
      <c r="B14" s="17" t="s">
        <v>30</v>
      </c>
      <c r="C14" s="15" t="str">
        <f t="shared" ca="1" si="0"/>
        <v>Queu</v>
      </c>
      <c r="D14" s="23">
        <f ca="1" xml:space="preserve"> 1 - (E14/('Diagrama de Gantt'!$F$16 - 'Diagrama de Gantt'!$E$7))</f>
        <v>0.29411764705882348</v>
      </c>
      <c r="E14" s="24">
        <f ca="1">IF('Diagrama de Gantt'!F16 - TODAY()&gt;= 0, 'Diagrama de Gantt'!F16 - TODAY(), 0)</f>
        <v>96</v>
      </c>
    </row>
    <row r="15" spans="2:5" x14ac:dyDescent="0.25">
      <c r="B15" s="18" t="s">
        <v>39</v>
      </c>
      <c r="C15" s="15" t="str">
        <f t="shared" ca="1" si="0"/>
        <v>Done</v>
      </c>
      <c r="D15" s="23">
        <f ca="1" xml:space="preserve"> 1 - (E15/('Diagrama de Gantt'!$F$16 - 'Diagrama de Gantt'!$E$7))</f>
        <v>1</v>
      </c>
      <c r="E15" s="24">
        <f ca="1">IF('Diagrama de Gantt'!F17 - TODAY()&gt;= 0, 'Diagrama de Gantt'!F17 - TODAY(), 0)</f>
        <v>0</v>
      </c>
    </row>
  </sheetData>
  <sheetProtection algorithmName="SHA-512" hashValue="x5OgM8b8B/KmQ5GFZEQ38JrWaoibJLyK3Z4UrH/6ZYXeoWwovqbWgQvUhKX4QuGK/Ii54CFz34ATiCiwBdHXIw==" saltValue="4WG1yexk44xXXCpan79TPA==" spinCount="100000" sheet="1" objects="1" scenarios="1"/>
  <mergeCells count="1">
    <mergeCell ref="B2:E3"/>
  </mergeCells>
  <phoneticPr fontId="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2" baseType="variant">
      <vt:variant>
        <vt:lpstr>Hojas de cálculo</vt:lpstr>
      </vt:variant>
      <vt:variant>
        <vt:i4>2</vt:i4>
      </vt:variant>
    </vt:vector>
  </HeadingPairs>
  <TitlesOfParts>
    <vt:vector size="2" baseType="lpstr">
      <vt:lpstr>Diagrama de Gantt</vt:lpstr>
      <vt:lpstr>Estatus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leyton</dc:creator>
  <cp:lastModifiedBy>juan leyton</cp:lastModifiedBy>
  <dcterms:created xsi:type="dcterms:W3CDTF">2020-02-14T16:55:34Z</dcterms:created>
  <dcterms:modified xsi:type="dcterms:W3CDTF">2020-02-15T23:46:28Z</dcterms:modified>
</cp:coreProperties>
</file>